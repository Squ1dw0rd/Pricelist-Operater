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ice List _ LATEST\2025\"/>
    </mc:Choice>
  </mc:AlternateContent>
  <xr:revisionPtr revIDLastSave="0" documentId="13_ncr:1_{AFE5FC07-401A-4A92-8815-34336E8BEBB8}" xr6:coauthVersionLast="47" xr6:coauthVersionMax="47" xr10:uidLastSave="{00000000-0000-0000-0000-000000000000}"/>
  <bookViews>
    <workbookView xWindow="90" yWindow="0" windowWidth="28770" windowHeight="15450" xr2:uid="{80F81079-5C96-48B5-A66A-E0D242015ACB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13" i="1" l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512" i="1"/>
  <c r="J525" i="1"/>
  <c r="J526" i="1"/>
  <c r="J542" i="1"/>
  <c r="J570" i="1"/>
  <c r="J574" i="1"/>
  <c r="J599" i="1"/>
  <c r="J616" i="1"/>
  <c r="J619" i="1"/>
  <c r="J696" i="1"/>
  <c r="J810" i="1"/>
  <c r="J820" i="1"/>
  <c r="J822" i="1"/>
  <c r="J858" i="1"/>
  <c r="J868" i="1"/>
  <c r="J870" i="1"/>
  <c r="J921" i="1"/>
  <c r="J923" i="1"/>
  <c r="J932" i="1"/>
  <c r="J933" i="1"/>
  <c r="J957" i="1"/>
  <c r="J958" i="1"/>
  <c r="J960" i="1"/>
  <c r="J968" i="1"/>
  <c r="J993" i="1"/>
  <c r="J994" i="1"/>
  <c r="J996" i="1"/>
  <c r="J1003" i="1"/>
  <c r="J1054" i="1"/>
  <c r="J1055" i="1"/>
  <c r="J1066" i="1"/>
  <c r="J1067" i="1"/>
  <c r="J1071" i="1"/>
  <c r="J1091" i="1"/>
  <c r="J1092" i="1"/>
  <c r="J1099" i="1"/>
  <c r="J1120" i="1"/>
  <c r="J1123" i="1"/>
  <c r="J1127" i="1"/>
  <c r="J1139" i="1"/>
  <c r="J1148" i="1"/>
  <c r="J1152" i="1"/>
  <c r="J1159" i="1"/>
  <c r="J1184" i="1"/>
  <c r="J1185" i="1"/>
  <c r="J1186" i="1"/>
  <c r="J1187" i="1"/>
  <c r="J1220" i="1"/>
  <c r="J1228" i="1"/>
  <c r="J1232" i="1"/>
  <c r="J1245" i="1"/>
  <c r="J1264" i="1"/>
  <c r="J1267" i="1"/>
  <c r="J1269" i="1"/>
  <c r="J1300" i="1"/>
  <c r="J1303" i="1"/>
  <c r="J1305" i="1"/>
  <c r="J1306" i="1"/>
  <c r="J1336" i="1"/>
  <c r="J1337" i="1"/>
  <c r="J1339" i="1"/>
  <c r="J1340" i="1"/>
  <c r="J1342" i="1"/>
  <c r="J1360" i="1"/>
  <c r="J1363" i="1"/>
  <c r="J1364" i="1"/>
  <c r="J1366" i="1"/>
  <c r="J1370" i="1"/>
  <c r="J1371" i="1"/>
  <c r="J1378" i="1"/>
  <c r="J1380" i="1"/>
  <c r="J1384" i="1"/>
  <c r="J1388" i="1"/>
  <c r="J1389" i="1"/>
  <c r="J1400" i="1"/>
  <c r="J1417" i="1"/>
  <c r="J1418" i="1"/>
  <c r="J1426" i="1"/>
  <c r="J1453" i="1"/>
  <c r="J1454" i="1"/>
  <c r="J1462" i="1"/>
  <c r="J1466" i="1"/>
  <c r="J1479" i="1"/>
  <c r="J1483" i="1"/>
  <c r="J1486" i="1"/>
  <c r="J1490" i="1"/>
  <c r="J1707" i="1"/>
  <c r="J1711" i="1"/>
  <c r="J1722" i="1"/>
  <c r="J1723" i="1"/>
  <c r="J1731" i="1"/>
  <c r="J1732" i="1"/>
  <c r="J1735" i="1"/>
  <c r="J1739" i="1"/>
  <c r="J1743" i="1"/>
  <c r="J1745" i="1"/>
  <c r="J1751" i="1"/>
  <c r="J1757" i="1"/>
  <c r="J504" i="1"/>
  <c r="L32" i="1"/>
  <c r="L59" i="1"/>
  <c r="L97" i="1"/>
  <c r="L133" i="1"/>
  <c r="L177" i="1"/>
  <c r="L189" i="1"/>
  <c r="L190" i="1"/>
  <c r="L211" i="1"/>
  <c r="L238" i="1"/>
  <c r="L264" i="1"/>
  <c r="L288" i="1"/>
  <c r="L327" i="1"/>
  <c r="L328" i="1"/>
  <c r="L366" i="1"/>
  <c r="L403" i="1"/>
  <c r="L439" i="1"/>
  <c r="L440" i="1"/>
  <c r="L441" i="1"/>
  <c r="L461" i="1"/>
  <c r="L481" i="1"/>
  <c r="K32" i="1"/>
  <c r="K59" i="1"/>
  <c r="K97" i="1"/>
  <c r="K133" i="1"/>
  <c r="K177" i="1"/>
  <c r="K189" i="1"/>
  <c r="K190" i="1"/>
  <c r="K211" i="1"/>
  <c r="K238" i="1"/>
  <c r="K264" i="1"/>
  <c r="K288" i="1"/>
  <c r="K327" i="1"/>
  <c r="K328" i="1"/>
  <c r="K366" i="1"/>
  <c r="K403" i="1"/>
  <c r="K439" i="1"/>
  <c r="K440" i="1"/>
  <c r="K441" i="1"/>
  <c r="K461" i="1"/>
  <c r="K481" i="1"/>
  <c r="J32" i="1"/>
  <c r="J59" i="1"/>
  <c r="J97" i="1"/>
  <c r="J133" i="1"/>
  <c r="J177" i="1"/>
  <c r="J189" i="1"/>
  <c r="J190" i="1"/>
  <c r="J211" i="1"/>
  <c r="J238" i="1"/>
  <c r="J264" i="1"/>
  <c r="J288" i="1"/>
  <c r="J327" i="1"/>
  <c r="J328" i="1"/>
  <c r="J366" i="1"/>
  <c r="J403" i="1"/>
  <c r="J439" i="1"/>
  <c r="J440" i="1"/>
  <c r="J441" i="1"/>
  <c r="J461" i="1"/>
  <c r="J481" i="1"/>
  <c r="I1761" i="1"/>
  <c r="J1761" i="1" s="1"/>
  <c r="I1760" i="1"/>
  <c r="J1760" i="1" s="1"/>
  <c r="I1759" i="1"/>
  <c r="J1759" i="1" s="1"/>
  <c r="I1758" i="1"/>
  <c r="J1758" i="1" s="1"/>
  <c r="I1756" i="1"/>
  <c r="J1756" i="1" s="1"/>
  <c r="I1755" i="1"/>
  <c r="J1755" i="1" s="1"/>
  <c r="I1754" i="1"/>
  <c r="J1754" i="1" s="1"/>
  <c r="I1753" i="1"/>
  <c r="J1753" i="1" s="1"/>
  <c r="I1752" i="1"/>
  <c r="J1752" i="1" s="1"/>
  <c r="I1751" i="1"/>
  <c r="I1750" i="1"/>
  <c r="J1750" i="1" s="1"/>
  <c r="I1749" i="1"/>
  <c r="J1749" i="1" s="1"/>
  <c r="I1748" i="1"/>
  <c r="J1748" i="1" s="1"/>
  <c r="I1747" i="1"/>
  <c r="J1747" i="1" s="1"/>
  <c r="I1746" i="1"/>
  <c r="J1746" i="1" s="1"/>
  <c r="I1745" i="1"/>
  <c r="I1744" i="1"/>
  <c r="J1744" i="1" s="1"/>
  <c r="I1743" i="1"/>
  <c r="I1742" i="1"/>
  <c r="J1742" i="1" s="1"/>
  <c r="I1741" i="1"/>
  <c r="J1741" i="1" s="1"/>
  <c r="I1740" i="1"/>
  <c r="J1740" i="1" s="1"/>
  <c r="I1739" i="1"/>
  <c r="I1738" i="1"/>
  <c r="J1738" i="1" s="1"/>
  <c r="I1737" i="1"/>
  <c r="J1737" i="1" s="1"/>
  <c r="I1736" i="1"/>
  <c r="J1736" i="1" s="1"/>
  <c r="I1735" i="1"/>
  <c r="I1734" i="1"/>
  <c r="J1734" i="1" s="1"/>
  <c r="I1733" i="1"/>
  <c r="J1733" i="1" s="1"/>
  <c r="I1730" i="1"/>
  <c r="J1730" i="1" s="1"/>
  <c r="I1729" i="1"/>
  <c r="J1729" i="1" s="1"/>
  <c r="I1728" i="1"/>
  <c r="J1728" i="1" s="1"/>
  <c r="I1727" i="1"/>
  <c r="J1727" i="1" s="1"/>
  <c r="I1726" i="1"/>
  <c r="J1726" i="1" s="1"/>
  <c r="I1725" i="1"/>
  <c r="J1725" i="1" s="1"/>
  <c r="I1724" i="1"/>
  <c r="J1724" i="1" s="1"/>
  <c r="I1723" i="1"/>
  <c r="I1722" i="1"/>
  <c r="I1721" i="1"/>
  <c r="J1721" i="1" s="1"/>
  <c r="I1720" i="1"/>
  <c r="J1720" i="1" s="1"/>
  <c r="I1719" i="1"/>
  <c r="J1719" i="1" s="1"/>
  <c r="I1718" i="1"/>
  <c r="J1718" i="1" s="1"/>
  <c r="I1717" i="1"/>
  <c r="J1717" i="1" s="1"/>
  <c r="I1716" i="1"/>
  <c r="J1716" i="1" s="1"/>
  <c r="I1715" i="1"/>
  <c r="J1715" i="1" s="1"/>
  <c r="I1714" i="1"/>
  <c r="J1714" i="1" s="1"/>
  <c r="I1713" i="1"/>
  <c r="J1713" i="1" s="1"/>
  <c r="I1712" i="1"/>
  <c r="J1712" i="1" s="1"/>
  <c r="I1711" i="1"/>
  <c r="I1710" i="1"/>
  <c r="J1710" i="1" s="1"/>
  <c r="I1709" i="1"/>
  <c r="J1709" i="1" s="1"/>
  <c r="I1708" i="1"/>
  <c r="J1708" i="1" s="1"/>
  <c r="I1707" i="1"/>
  <c r="I1706" i="1"/>
  <c r="J1706" i="1" s="1"/>
  <c r="I1705" i="1"/>
  <c r="J1705" i="1" s="1"/>
  <c r="I1704" i="1"/>
  <c r="J1704" i="1" s="1"/>
  <c r="I1703" i="1"/>
  <c r="J1703" i="1" s="1"/>
  <c r="I1702" i="1"/>
  <c r="J1702" i="1" s="1"/>
  <c r="I1701" i="1"/>
  <c r="J1701" i="1" s="1"/>
  <c r="I1700" i="1"/>
  <c r="J1700" i="1" s="1"/>
  <c r="I1699" i="1"/>
  <c r="J1699" i="1" s="1"/>
  <c r="I1698" i="1"/>
  <c r="J1698" i="1" s="1"/>
  <c r="I1697" i="1"/>
  <c r="J1697" i="1" s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88" i="1"/>
  <c r="I1587" i="1"/>
  <c r="I1586" i="1"/>
  <c r="I1585" i="1"/>
  <c r="I1578" i="1"/>
  <c r="I1577" i="1"/>
  <c r="I1573" i="1"/>
  <c r="I1572" i="1"/>
  <c r="I1570" i="1"/>
  <c r="I1569" i="1"/>
  <c r="I1567" i="1"/>
  <c r="I1566" i="1"/>
  <c r="I1565" i="1"/>
  <c r="I1564" i="1"/>
  <c r="I1561" i="1"/>
  <c r="I1560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6" i="1"/>
  <c r="I1516" i="1"/>
  <c r="I1515" i="1"/>
  <c r="I1514" i="1"/>
  <c r="I1513" i="1"/>
  <c r="I1512" i="1"/>
  <c r="I1508" i="1"/>
  <c r="J1508" i="1" s="1"/>
  <c r="I1507" i="1"/>
  <c r="J1507" i="1" s="1"/>
  <c r="I1506" i="1"/>
  <c r="J1506" i="1" s="1"/>
  <c r="I1505" i="1"/>
  <c r="J1505" i="1" s="1"/>
  <c r="I1504" i="1"/>
  <c r="J1504" i="1" s="1"/>
  <c r="I1503" i="1"/>
  <c r="J1503" i="1" s="1"/>
  <c r="I1502" i="1"/>
  <c r="J1502" i="1" s="1"/>
  <c r="I1501" i="1"/>
  <c r="J1501" i="1" s="1"/>
  <c r="I1500" i="1"/>
  <c r="J1500" i="1" s="1"/>
  <c r="I1499" i="1"/>
  <c r="J1499" i="1" s="1"/>
  <c r="I1498" i="1"/>
  <c r="J1498" i="1" s="1"/>
  <c r="I1497" i="1"/>
  <c r="J1497" i="1" s="1"/>
  <c r="I1496" i="1"/>
  <c r="J1496" i="1" s="1"/>
  <c r="I1495" i="1"/>
  <c r="J1495" i="1" s="1"/>
  <c r="I1494" i="1"/>
  <c r="J1494" i="1" s="1"/>
  <c r="I1493" i="1"/>
  <c r="J1493" i="1" s="1"/>
  <c r="I1492" i="1"/>
  <c r="J1492" i="1" s="1"/>
  <c r="I1491" i="1"/>
  <c r="J1491" i="1" s="1"/>
  <c r="I1490" i="1"/>
  <c r="I1489" i="1"/>
  <c r="J1489" i="1" s="1"/>
  <c r="I1488" i="1"/>
  <c r="J1488" i="1" s="1"/>
  <c r="I1487" i="1"/>
  <c r="J1487" i="1" s="1"/>
  <c r="I1486" i="1"/>
  <c r="I1485" i="1"/>
  <c r="J1485" i="1" s="1"/>
  <c r="I1484" i="1"/>
  <c r="J1484" i="1" s="1"/>
  <c r="I1483" i="1"/>
  <c r="I1482" i="1"/>
  <c r="J1482" i="1" s="1"/>
  <c r="I1481" i="1"/>
  <c r="J1481" i="1" s="1"/>
  <c r="I1480" i="1"/>
  <c r="J1480" i="1" s="1"/>
  <c r="I1479" i="1"/>
  <c r="I1478" i="1"/>
  <c r="J1478" i="1" s="1"/>
  <c r="I1477" i="1"/>
  <c r="J1477" i="1" s="1"/>
  <c r="I1476" i="1"/>
  <c r="J1476" i="1" s="1"/>
  <c r="I1475" i="1"/>
  <c r="J1475" i="1" s="1"/>
  <c r="I1474" i="1"/>
  <c r="J1474" i="1" s="1"/>
  <c r="I1473" i="1"/>
  <c r="J1473" i="1" s="1"/>
  <c r="I1472" i="1"/>
  <c r="J1472" i="1" s="1"/>
  <c r="I1471" i="1"/>
  <c r="J1471" i="1" s="1"/>
  <c r="I1470" i="1"/>
  <c r="J1470" i="1" s="1"/>
  <c r="I1469" i="1"/>
  <c r="J1469" i="1" s="1"/>
  <c r="I1468" i="1"/>
  <c r="J1468" i="1" s="1"/>
  <c r="I1467" i="1"/>
  <c r="J1467" i="1" s="1"/>
  <c r="I1465" i="1"/>
  <c r="J1465" i="1" s="1"/>
  <c r="I1464" i="1"/>
  <c r="J1464" i="1" s="1"/>
  <c r="I1463" i="1"/>
  <c r="J1463" i="1" s="1"/>
  <c r="I1462" i="1"/>
  <c r="I1461" i="1"/>
  <c r="J1461" i="1" s="1"/>
  <c r="I1460" i="1"/>
  <c r="J1460" i="1" s="1"/>
  <c r="I1459" i="1"/>
  <c r="J1459" i="1" s="1"/>
  <c r="I1458" i="1"/>
  <c r="J1458" i="1" s="1"/>
  <c r="I1457" i="1"/>
  <c r="J1457" i="1" s="1"/>
  <c r="I1456" i="1"/>
  <c r="J1456" i="1" s="1"/>
  <c r="I1455" i="1"/>
  <c r="J1455" i="1" s="1"/>
  <c r="I1454" i="1"/>
  <c r="I1453" i="1"/>
  <c r="I1452" i="1"/>
  <c r="J1452" i="1" s="1"/>
  <c r="I1451" i="1"/>
  <c r="J1451" i="1" s="1"/>
  <c r="I1450" i="1"/>
  <c r="J1450" i="1" s="1"/>
  <c r="I1449" i="1"/>
  <c r="J1449" i="1" s="1"/>
  <c r="I1448" i="1"/>
  <c r="J1448" i="1" s="1"/>
  <c r="I1447" i="1"/>
  <c r="J1447" i="1" s="1"/>
  <c r="I1446" i="1"/>
  <c r="J1446" i="1" s="1"/>
  <c r="I1445" i="1"/>
  <c r="J1445" i="1" s="1"/>
  <c r="I1444" i="1"/>
  <c r="J1444" i="1" s="1"/>
  <c r="I1443" i="1"/>
  <c r="J1443" i="1" s="1"/>
  <c r="I1442" i="1"/>
  <c r="J1442" i="1" s="1"/>
  <c r="I1441" i="1"/>
  <c r="J1441" i="1" s="1"/>
  <c r="I1440" i="1"/>
  <c r="J1440" i="1" s="1"/>
  <c r="I1439" i="1"/>
  <c r="J1439" i="1" s="1"/>
  <c r="I1438" i="1"/>
  <c r="J1438" i="1" s="1"/>
  <c r="I1437" i="1"/>
  <c r="J1437" i="1" s="1"/>
  <c r="I1436" i="1"/>
  <c r="J1436" i="1" s="1"/>
  <c r="I1435" i="1"/>
  <c r="J1435" i="1" s="1"/>
  <c r="I1434" i="1"/>
  <c r="J1434" i="1" s="1"/>
  <c r="I1433" i="1"/>
  <c r="J1433" i="1" s="1"/>
  <c r="I1432" i="1"/>
  <c r="J1432" i="1" s="1"/>
  <c r="I1431" i="1"/>
  <c r="J1431" i="1" s="1"/>
  <c r="I1430" i="1"/>
  <c r="J1430" i="1" s="1"/>
  <c r="I1429" i="1"/>
  <c r="J1429" i="1" s="1"/>
  <c r="I1428" i="1"/>
  <c r="J1428" i="1" s="1"/>
  <c r="I1427" i="1"/>
  <c r="J1427" i="1" s="1"/>
  <c r="I1426" i="1"/>
  <c r="I1425" i="1"/>
  <c r="J1425" i="1" s="1"/>
  <c r="I1424" i="1"/>
  <c r="J1424" i="1" s="1"/>
  <c r="I1423" i="1"/>
  <c r="J1423" i="1" s="1"/>
  <c r="I1422" i="1"/>
  <c r="J1422" i="1" s="1"/>
  <c r="I1421" i="1"/>
  <c r="J1421" i="1" s="1"/>
  <c r="I1420" i="1"/>
  <c r="J1420" i="1" s="1"/>
  <c r="I1419" i="1"/>
  <c r="J1419" i="1" s="1"/>
  <c r="I1418" i="1"/>
  <c r="I1417" i="1"/>
  <c r="I1416" i="1"/>
  <c r="J1416" i="1" s="1"/>
  <c r="I1415" i="1"/>
  <c r="J1415" i="1" s="1"/>
  <c r="I1414" i="1"/>
  <c r="J1414" i="1" s="1"/>
  <c r="I1413" i="1"/>
  <c r="J1413" i="1" s="1"/>
  <c r="I1412" i="1"/>
  <c r="J1412" i="1" s="1"/>
  <c r="I1411" i="1"/>
  <c r="J1411" i="1" s="1"/>
  <c r="I1410" i="1"/>
  <c r="J1410" i="1" s="1"/>
  <c r="I1409" i="1"/>
  <c r="J1409" i="1" s="1"/>
  <c r="I1405" i="1"/>
  <c r="J1405" i="1" s="1"/>
  <c r="I1404" i="1"/>
  <c r="J1404" i="1" s="1"/>
  <c r="I1403" i="1"/>
  <c r="J1403" i="1" s="1"/>
  <c r="I1402" i="1"/>
  <c r="J1402" i="1" s="1"/>
  <c r="I1401" i="1"/>
  <c r="J1401" i="1" s="1"/>
  <c r="I1399" i="1"/>
  <c r="J1399" i="1" s="1"/>
  <c r="I1398" i="1"/>
  <c r="J1398" i="1" s="1"/>
  <c r="I1397" i="1"/>
  <c r="J1397" i="1" s="1"/>
  <c r="I1396" i="1"/>
  <c r="J1396" i="1" s="1"/>
  <c r="I1395" i="1"/>
  <c r="J1395" i="1" s="1"/>
  <c r="I1394" i="1"/>
  <c r="J1394" i="1" s="1"/>
  <c r="I1393" i="1"/>
  <c r="J1393" i="1" s="1"/>
  <c r="I1392" i="1"/>
  <c r="J1392" i="1" s="1"/>
  <c r="I1391" i="1"/>
  <c r="J1391" i="1" s="1"/>
  <c r="I1390" i="1"/>
  <c r="J1390" i="1" s="1"/>
  <c r="I1389" i="1"/>
  <c r="I1388" i="1"/>
  <c r="I1387" i="1"/>
  <c r="J1387" i="1" s="1"/>
  <c r="I1386" i="1"/>
  <c r="J1386" i="1" s="1"/>
  <c r="I1385" i="1"/>
  <c r="J1385" i="1" s="1"/>
  <c r="I1384" i="1"/>
  <c r="I1383" i="1"/>
  <c r="J1383" i="1" s="1"/>
  <c r="I1382" i="1"/>
  <c r="J1382" i="1" s="1"/>
  <c r="I1381" i="1"/>
  <c r="J1381" i="1" s="1"/>
  <c r="I1380" i="1"/>
  <c r="I1379" i="1"/>
  <c r="J1379" i="1" s="1"/>
  <c r="I1378" i="1"/>
  <c r="I1377" i="1"/>
  <c r="J1377" i="1" s="1"/>
  <c r="I1376" i="1"/>
  <c r="J1376" i="1" s="1"/>
  <c r="I1375" i="1"/>
  <c r="J1375" i="1" s="1"/>
  <c r="I1374" i="1"/>
  <c r="J1374" i="1" s="1"/>
  <c r="I1373" i="1"/>
  <c r="J1373" i="1" s="1"/>
  <c r="I1372" i="1"/>
  <c r="J1372" i="1" s="1"/>
  <c r="I1369" i="1"/>
  <c r="J1369" i="1" s="1"/>
  <c r="I1368" i="1"/>
  <c r="J1368" i="1" s="1"/>
  <c r="I1367" i="1"/>
  <c r="J1367" i="1" s="1"/>
  <c r="I1366" i="1"/>
  <c r="I1365" i="1"/>
  <c r="J1365" i="1" s="1"/>
  <c r="I1364" i="1"/>
  <c r="I1363" i="1"/>
  <c r="I1362" i="1"/>
  <c r="J1362" i="1" s="1"/>
  <c r="I1361" i="1"/>
  <c r="J1361" i="1" s="1"/>
  <c r="I1360" i="1"/>
  <c r="I1359" i="1"/>
  <c r="J1359" i="1" s="1"/>
  <c r="I1358" i="1"/>
  <c r="J1358" i="1" s="1"/>
  <c r="I1357" i="1"/>
  <c r="J1357" i="1" s="1"/>
  <c r="I1356" i="1"/>
  <c r="J1356" i="1" s="1"/>
  <c r="I1355" i="1"/>
  <c r="J1355" i="1" s="1"/>
  <c r="I1354" i="1"/>
  <c r="J1354" i="1" s="1"/>
  <c r="I1353" i="1"/>
  <c r="J1353" i="1" s="1"/>
  <c r="I1352" i="1"/>
  <c r="J1352" i="1" s="1"/>
  <c r="I1351" i="1"/>
  <c r="J1351" i="1" s="1"/>
  <c r="I1350" i="1"/>
  <c r="J1350" i="1" s="1"/>
  <c r="I1349" i="1"/>
  <c r="J1349" i="1" s="1"/>
  <c r="I1348" i="1"/>
  <c r="J1348" i="1" s="1"/>
  <c r="I1347" i="1"/>
  <c r="J1347" i="1" s="1"/>
  <c r="I1346" i="1"/>
  <c r="J1346" i="1" s="1"/>
  <c r="I1345" i="1"/>
  <c r="J1345" i="1" s="1"/>
  <c r="I1344" i="1"/>
  <c r="J1344" i="1" s="1"/>
  <c r="I1343" i="1"/>
  <c r="J1343" i="1" s="1"/>
  <c r="I1342" i="1"/>
  <c r="I1341" i="1"/>
  <c r="J1341" i="1" s="1"/>
  <c r="I1340" i="1"/>
  <c r="I1339" i="1"/>
  <c r="I1338" i="1"/>
  <c r="J1338" i="1" s="1"/>
  <c r="I1335" i="1"/>
  <c r="J1335" i="1" s="1"/>
  <c r="I1334" i="1"/>
  <c r="J1334" i="1" s="1"/>
  <c r="I1333" i="1"/>
  <c r="J1333" i="1" s="1"/>
  <c r="I1332" i="1"/>
  <c r="J1332" i="1" s="1"/>
  <c r="I1331" i="1"/>
  <c r="J1331" i="1" s="1"/>
  <c r="I1330" i="1"/>
  <c r="J1330" i="1" s="1"/>
  <c r="I1329" i="1"/>
  <c r="J1329" i="1" s="1"/>
  <c r="I1328" i="1"/>
  <c r="J1328" i="1" s="1"/>
  <c r="I1327" i="1"/>
  <c r="J1327" i="1" s="1"/>
  <c r="I1326" i="1"/>
  <c r="J1326" i="1" s="1"/>
  <c r="I1325" i="1"/>
  <c r="J1325" i="1" s="1"/>
  <c r="I1324" i="1"/>
  <c r="J1324" i="1" s="1"/>
  <c r="I1323" i="1"/>
  <c r="J1323" i="1" s="1"/>
  <c r="I1322" i="1"/>
  <c r="J1322" i="1" s="1"/>
  <c r="I1321" i="1"/>
  <c r="J1321" i="1" s="1"/>
  <c r="I1320" i="1"/>
  <c r="J1320" i="1" s="1"/>
  <c r="I1319" i="1"/>
  <c r="J1319" i="1" s="1"/>
  <c r="I1318" i="1"/>
  <c r="J1318" i="1" s="1"/>
  <c r="I1317" i="1"/>
  <c r="J1317" i="1" s="1"/>
  <c r="I1316" i="1"/>
  <c r="J1316" i="1" s="1"/>
  <c r="I1315" i="1"/>
  <c r="J1315" i="1" s="1"/>
  <c r="I1314" i="1"/>
  <c r="J1314" i="1" s="1"/>
  <c r="I1313" i="1"/>
  <c r="J1313" i="1" s="1"/>
  <c r="I1312" i="1"/>
  <c r="J1312" i="1" s="1"/>
  <c r="I1311" i="1"/>
  <c r="J1311" i="1" s="1"/>
  <c r="I1310" i="1"/>
  <c r="J1310" i="1" s="1"/>
  <c r="I1309" i="1"/>
  <c r="J1309" i="1" s="1"/>
  <c r="I1308" i="1"/>
  <c r="J1308" i="1" s="1"/>
  <c r="I1307" i="1"/>
  <c r="J1307" i="1" s="1"/>
  <c r="I1305" i="1"/>
  <c r="I1304" i="1"/>
  <c r="J1304" i="1" s="1"/>
  <c r="I1303" i="1"/>
  <c r="I1302" i="1"/>
  <c r="J1302" i="1" s="1"/>
  <c r="I1301" i="1"/>
  <c r="J1301" i="1" s="1"/>
  <c r="I1300" i="1"/>
  <c r="I1299" i="1"/>
  <c r="J1299" i="1" s="1"/>
  <c r="I1298" i="1"/>
  <c r="J1298" i="1" s="1"/>
  <c r="I1297" i="1"/>
  <c r="J1297" i="1" s="1"/>
  <c r="I1296" i="1"/>
  <c r="J1296" i="1" s="1"/>
  <c r="I1295" i="1"/>
  <c r="J1295" i="1" s="1"/>
  <c r="I1294" i="1"/>
  <c r="J1294" i="1" s="1"/>
  <c r="I1293" i="1"/>
  <c r="J1293" i="1" s="1"/>
  <c r="I1292" i="1"/>
  <c r="J1292" i="1" s="1"/>
  <c r="I1291" i="1"/>
  <c r="J1291" i="1" s="1"/>
  <c r="I1290" i="1"/>
  <c r="J1290" i="1" s="1"/>
  <c r="I1289" i="1"/>
  <c r="J1289" i="1" s="1"/>
  <c r="I1288" i="1"/>
  <c r="J1288" i="1" s="1"/>
  <c r="I1287" i="1"/>
  <c r="J1287" i="1" s="1"/>
  <c r="I1286" i="1"/>
  <c r="J1286" i="1" s="1"/>
  <c r="I1285" i="1"/>
  <c r="J1285" i="1" s="1"/>
  <c r="I1284" i="1"/>
  <c r="J1284" i="1" s="1"/>
  <c r="I1283" i="1"/>
  <c r="J1283" i="1" s="1"/>
  <c r="I1282" i="1"/>
  <c r="J1282" i="1" s="1"/>
  <c r="I1281" i="1"/>
  <c r="J1281" i="1" s="1"/>
  <c r="I1280" i="1"/>
  <c r="J1280" i="1" s="1"/>
  <c r="I1279" i="1"/>
  <c r="J1279" i="1" s="1"/>
  <c r="I1278" i="1"/>
  <c r="J1278" i="1" s="1"/>
  <c r="I1277" i="1"/>
  <c r="J1277" i="1" s="1"/>
  <c r="I1276" i="1"/>
  <c r="J1276" i="1" s="1"/>
  <c r="I1275" i="1"/>
  <c r="J1275" i="1" s="1"/>
  <c r="I1274" i="1"/>
  <c r="J1274" i="1" s="1"/>
  <c r="I1273" i="1"/>
  <c r="J1273" i="1" s="1"/>
  <c r="I1272" i="1"/>
  <c r="J1272" i="1" s="1"/>
  <c r="I1271" i="1"/>
  <c r="J1271" i="1" s="1"/>
  <c r="I1270" i="1"/>
  <c r="J1270" i="1" s="1"/>
  <c r="I1269" i="1"/>
  <c r="I1268" i="1"/>
  <c r="J1268" i="1" s="1"/>
  <c r="I1267" i="1"/>
  <c r="I1266" i="1"/>
  <c r="J1266" i="1" s="1"/>
  <c r="I1265" i="1"/>
  <c r="J1265" i="1" s="1"/>
  <c r="I1264" i="1"/>
  <c r="I1263" i="1"/>
  <c r="J1263" i="1" s="1"/>
  <c r="I1262" i="1"/>
  <c r="J1262" i="1" s="1"/>
  <c r="I1261" i="1"/>
  <c r="J1261" i="1" s="1"/>
  <c r="I1260" i="1"/>
  <c r="J1260" i="1" s="1"/>
  <c r="I1259" i="1"/>
  <c r="J1259" i="1" s="1"/>
  <c r="I1258" i="1"/>
  <c r="J1258" i="1" s="1"/>
  <c r="I1257" i="1"/>
  <c r="J1257" i="1" s="1"/>
  <c r="I1256" i="1"/>
  <c r="J1256" i="1" s="1"/>
  <c r="I1255" i="1"/>
  <c r="J1255" i="1" s="1"/>
  <c r="I1254" i="1"/>
  <c r="J1254" i="1" s="1"/>
  <c r="I1253" i="1"/>
  <c r="J1253" i="1" s="1"/>
  <c r="I1252" i="1"/>
  <c r="J1252" i="1" s="1"/>
  <c r="I1251" i="1"/>
  <c r="J1251" i="1" s="1"/>
  <c r="I1250" i="1"/>
  <c r="J1250" i="1" s="1"/>
  <c r="I1249" i="1"/>
  <c r="J1249" i="1" s="1"/>
  <c r="I1248" i="1"/>
  <c r="J1248" i="1" s="1"/>
  <c r="I1247" i="1"/>
  <c r="J1247" i="1" s="1"/>
  <c r="I1246" i="1"/>
  <c r="J1246" i="1" s="1"/>
  <c r="I1244" i="1"/>
  <c r="J1244" i="1" s="1"/>
  <c r="I1243" i="1"/>
  <c r="J1243" i="1" s="1"/>
  <c r="I1242" i="1"/>
  <c r="J1242" i="1" s="1"/>
  <c r="I1241" i="1"/>
  <c r="J1241" i="1" s="1"/>
  <c r="I1240" i="1"/>
  <c r="J1240" i="1" s="1"/>
  <c r="I1239" i="1"/>
  <c r="J1239" i="1" s="1"/>
  <c r="I1238" i="1"/>
  <c r="J1238" i="1" s="1"/>
  <c r="I1237" i="1"/>
  <c r="J1237" i="1" s="1"/>
  <c r="I1236" i="1"/>
  <c r="J1236" i="1" s="1"/>
  <c r="I1235" i="1"/>
  <c r="J1235" i="1" s="1"/>
  <c r="I1234" i="1"/>
  <c r="J1234" i="1" s="1"/>
  <c r="I1233" i="1"/>
  <c r="J1233" i="1" s="1"/>
  <c r="I1232" i="1"/>
  <c r="I1231" i="1"/>
  <c r="J1231" i="1" s="1"/>
  <c r="I1230" i="1"/>
  <c r="J1230" i="1" s="1"/>
  <c r="I1229" i="1"/>
  <c r="J1229" i="1" s="1"/>
  <c r="I1228" i="1"/>
  <c r="I1227" i="1"/>
  <c r="J1227" i="1" s="1"/>
  <c r="I1226" i="1"/>
  <c r="J1226" i="1" s="1"/>
  <c r="I1225" i="1"/>
  <c r="J1225" i="1" s="1"/>
  <c r="I1224" i="1"/>
  <c r="J1224" i="1" s="1"/>
  <c r="I1223" i="1"/>
  <c r="J1223" i="1" s="1"/>
  <c r="I1222" i="1"/>
  <c r="J1222" i="1" s="1"/>
  <c r="I1221" i="1"/>
  <c r="J1221" i="1" s="1"/>
  <c r="I1220" i="1"/>
  <c r="I1219" i="1"/>
  <c r="J1219" i="1" s="1"/>
  <c r="I1218" i="1"/>
  <c r="J1218" i="1" s="1"/>
  <c r="I1217" i="1"/>
  <c r="J1217" i="1" s="1"/>
  <c r="I1216" i="1"/>
  <c r="J1216" i="1" s="1"/>
  <c r="I1215" i="1"/>
  <c r="J1215" i="1" s="1"/>
  <c r="I1214" i="1"/>
  <c r="J1214" i="1" s="1"/>
  <c r="I1213" i="1"/>
  <c r="J1213" i="1" s="1"/>
  <c r="I1212" i="1"/>
  <c r="J1212" i="1" s="1"/>
  <c r="I1211" i="1"/>
  <c r="J1211" i="1" s="1"/>
  <c r="I1210" i="1"/>
  <c r="J1210" i="1" s="1"/>
  <c r="I1209" i="1"/>
  <c r="J1209" i="1" s="1"/>
  <c r="I1208" i="1"/>
  <c r="J1208" i="1" s="1"/>
  <c r="I1207" i="1"/>
  <c r="J1207" i="1" s="1"/>
  <c r="I1206" i="1"/>
  <c r="J1206" i="1" s="1"/>
  <c r="I1205" i="1"/>
  <c r="J1205" i="1" s="1"/>
  <c r="I1204" i="1"/>
  <c r="J1204" i="1" s="1"/>
  <c r="I1203" i="1"/>
  <c r="J1203" i="1" s="1"/>
  <c r="I1202" i="1"/>
  <c r="J1202" i="1" s="1"/>
  <c r="I1201" i="1"/>
  <c r="J1201" i="1" s="1"/>
  <c r="I1200" i="1"/>
  <c r="J1200" i="1" s="1"/>
  <c r="I1199" i="1"/>
  <c r="J1199" i="1" s="1"/>
  <c r="I1198" i="1"/>
  <c r="J1198" i="1" s="1"/>
  <c r="I1197" i="1"/>
  <c r="J1197" i="1" s="1"/>
  <c r="I1196" i="1"/>
  <c r="J1196" i="1" s="1"/>
  <c r="I1195" i="1"/>
  <c r="J1195" i="1" s="1"/>
  <c r="I1194" i="1"/>
  <c r="J1194" i="1" s="1"/>
  <c r="I1193" i="1"/>
  <c r="J1193" i="1" s="1"/>
  <c r="I1192" i="1"/>
  <c r="J1192" i="1" s="1"/>
  <c r="I1191" i="1"/>
  <c r="J1191" i="1" s="1"/>
  <c r="I1190" i="1"/>
  <c r="J1190" i="1" s="1"/>
  <c r="I1189" i="1"/>
  <c r="J1189" i="1" s="1"/>
  <c r="I1188" i="1"/>
  <c r="J1188" i="1" s="1"/>
  <c r="I1184" i="1"/>
  <c r="I1183" i="1"/>
  <c r="J1183" i="1" s="1"/>
  <c r="I1182" i="1"/>
  <c r="J1182" i="1" s="1"/>
  <c r="I1181" i="1"/>
  <c r="J1181" i="1" s="1"/>
  <c r="I1180" i="1"/>
  <c r="J1180" i="1" s="1"/>
  <c r="I1179" i="1"/>
  <c r="J1179" i="1" s="1"/>
  <c r="I1178" i="1"/>
  <c r="J1178" i="1" s="1"/>
  <c r="I1177" i="1"/>
  <c r="J1177" i="1" s="1"/>
  <c r="I1176" i="1"/>
  <c r="J1176" i="1" s="1"/>
  <c r="I1175" i="1"/>
  <c r="J1175" i="1" s="1"/>
  <c r="I1174" i="1"/>
  <c r="J1174" i="1" s="1"/>
  <c r="I1173" i="1"/>
  <c r="J1173" i="1" s="1"/>
  <c r="I1172" i="1"/>
  <c r="J1172" i="1" s="1"/>
  <c r="I1171" i="1"/>
  <c r="J1171" i="1" s="1"/>
  <c r="I1170" i="1"/>
  <c r="J1170" i="1" s="1"/>
  <c r="I1169" i="1"/>
  <c r="J1169" i="1" s="1"/>
  <c r="I1168" i="1"/>
  <c r="J1168" i="1" s="1"/>
  <c r="I1167" i="1"/>
  <c r="J1167" i="1" s="1"/>
  <c r="I1166" i="1"/>
  <c r="J1166" i="1" s="1"/>
  <c r="I1165" i="1"/>
  <c r="J1165" i="1" s="1"/>
  <c r="I1164" i="1"/>
  <c r="J1164" i="1" s="1"/>
  <c r="I1163" i="1"/>
  <c r="J1163" i="1" s="1"/>
  <c r="I1162" i="1"/>
  <c r="J1162" i="1" s="1"/>
  <c r="I1161" i="1"/>
  <c r="J1161" i="1" s="1"/>
  <c r="I1160" i="1"/>
  <c r="J1160" i="1" s="1"/>
  <c r="I1159" i="1"/>
  <c r="I1158" i="1"/>
  <c r="J1158" i="1" s="1"/>
  <c r="I1157" i="1"/>
  <c r="J1157" i="1" s="1"/>
  <c r="I1156" i="1"/>
  <c r="J1156" i="1" s="1"/>
  <c r="I1155" i="1"/>
  <c r="J1155" i="1" s="1"/>
  <c r="I1154" i="1"/>
  <c r="J1154" i="1" s="1"/>
  <c r="I1153" i="1"/>
  <c r="J1153" i="1" s="1"/>
  <c r="I1152" i="1"/>
  <c r="I1151" i="1"/>
  <c r="J1151" i="1" s="1"/>
  <c r="I1150" i="1"/>
  <c r="J1150" i="1" s="1"/>
  <c r="I1149" i="1"/>
  <c r="J1149" i="1" s="1"/>
  <c r="I1148" i="1"/>
  <c r="I1147" i="1"/>
  <c r="J1147" i="1" s="1"/>
  <c r="I1146" i="1"/>
  <c r="J1146" i="1" s="1"/>
  <c r="I1145" i="1"/>
  <c r="J1145" i="1" s="1"/>
  <c r="I1144" i="1"/>
  <c r="J1144" i="1" s="1"/>
  <c r="I1143" i="1"/>
  <c r="J1143" i="1" s="1"/>
  <c r="I1142" i="1"/>
  <c r="J1142" i="1" s="1"/>
  <c r="I1141" i="1"/>
  <c r="J1141" i="1" s="1"/>
  <c r="I1140" i="1"/>
  <c r="J1140" i="1" s="1"/>
  <c r="I1138" i="1"/>
  <c r="J1138" i="1" s="1"/>
  <c r="I1137" i="1"/>
  <c r="J1137" i="1" s="1"/>
  <c r="I1136" i="1"/>
  <c r="J1136" i="1" s="1"/>
  <c r="I1135" i="1"/>
  <c r="J1135" i="1" s="1"/>
  <c r="I1134" i="1"/>
  <c r="J1134" i="1" s="1"/>
  <c r="I1133" i="1"/>
  <c r="J1133" i="1" s="1"/>
  <c r="I1132" i="1"/>
  <c r="J1132" i="1" s="1"/>
  <c r="I1131" i="1"/>
  <c r="J1131" i="1" s="1"/>
  <c r="I1130" i="1"/>
  <c r="J1130" i="1" s="1"/>
  <c r="I1129" i="1"/>
  <c r="J1129" i="1" s="1"/>
  <c r="I1128" i="1"/>
  <c r="J1128" i="1" s="1"/>
  <c r="I1127" i="1"/>
  <c r="I1126" i="1"/>
  <c r="J1126" i="1" s="1"/>
  <c r="I1125" i="1"/>
  <c r="J1125" i="1" s="1"/>
  <c r="I1124" i="1"/>
  <c r="J1124" i="1" s="1"/>
  <c r="I1123" i="1"/>
  <c r="I1122" i="1"/>
  <c r="J1122" i="1" s="1"/>
  <c r="I1121" i="1"/>
  <c r="J1121" i="1" s="1"/>
  <c r="I1120" i="1"/>
  <c r="I1119" i="1"/>
  <c r="J1119" i="1" s="1"/>
  <c r="I1118" i="1"/>
  <c r="J1118" i="1" s="1"/>
  <c r="I1117" i="1"/>
  <c r="J1117" i="1" s="1"/>
  <c r="I1116" i="1"/>
  <c r="J1116" i="1" s="1"/>
  <c r="I1115" i="1"/>
  <c r="J1115" i="1" s="1"/>
  <c r="I1114" i="1"/>
  <c r="J1114" i="1" s="1"/>
  <c r="I1113" i="1"/>
  <c r="J1113" i="1" s="1"/>
  <c r="I1112" i="1"/>
  <c r="J1112" i="1" s="1"/>
  <c r="I1111" i="1"/>
  <c r="J1111" i="1" s="1"/>
  <c r="I1110" i="1"/>
  <c r="J1110" i="1" s="1"/>
  <c r="I1109" i="1"/>
  <c r="J1109" i="1" s="1"/>
  <c r="I1108" i="1"/>
  <c r="J1108" i="1" s="1"/>
  <c r="I1107" i="1"/>
  <c r="J1107" i="1" s="1"/>
  <c r="I1106" i="1"/>
  <c r="J1106" i="1" s="1"/>
  <c r="I1105" i="1"/>
  <c r="J1105" i="1" s="1"/>
  <c r="I1104" i="1"/>
  <c r="J1104" i="1" s="1"/>
  <c r="I1103" i="1"/>
  <c r="J1103" i="1" s="1"/>
  <c r="I1102" i="1"/>
  <c r="J1102" i="1" s="1"/>
  <c r="I1101" i="1"/>
  <c r="J1101" i="1" s="1"/>
  <c r="I1100" i="1"/>
  <c r="J1100" i="1" s="1"/>
  <c r="I1099" i="1"/>
  <c r="I1098" i="1"/>
  <c r="J1098" i="1" s="1"/>
  <c r="I1097" i="1"/>
  <c r="J1097" i="1" s="1"/>
  <c r="I1096" i="1"/>
  <c r="J1096" i="1" s="1"/>
  <c r="I1095" i="1"/>
  <c r="J1095" i="1" s="1"/>
  <c r="I1094" i="1"/>
  <c r="J1094" i="1" s="1"/>
  <c r="I1093" i="1"/>
  <c r="J1093" i="1" s="1"/>
  <c r="I1092" i="1"/>
  <c r="I1091" i="1"/>
  <c r="I1090" i="1"/>
  <c r="J1090" i="1" s="1"/>
  <c r="I1089" i="1"/>
  <c r="J1089" i="1" s="1"/>
  <c r="I1088" i="1"/>
  <c r="J1088" i="1" s="1"/>
  <c r="I1087" i="1"/>
  <c r="J1087" i="1" s="1"/>
  <c r="I1086" i="1"/>
  <c r="J1086" i="1" s="1"/>
  <c r="I1085" i="1"/>
  <c r="J1085" i="1" s="1"/>
  <c r="I1084" i="1"/>
  <c r="J1084" i="1" s="1"/>
  <c r="I1083" i="1"/>
  <c r="J1083" i="1" s="1"/>
  <c r="I1082" i="1"/>
  <c r="J1082" i="1" s="1"/>
  <c r="I1081" i="1"/>
  <c r="J1081" i="1" s="1"/>
  <c r="I1080" i="1"/>
  <c r="J1080" i="1" s="1"/>
  <c r="I1079" i="1"/>
  <c r="J1079" i="1" s="1"/>
  <c r="I1078" i="1"/>
  <c r="J1078" i="1" s="1"/>
  <c r="I1077" i="1"/>
  <c r="J1077" i="1" s="1"/>
  <c r="I1076" i="1"/>
  <c r="J1076" i="1" s="1"/>
  <c r="I1075" i="1"/>
  <c r="J1075" i="1" s="1"/>
  <c r="I1074" i="1"/>
  <c r="J1074" i="1" s="1"/>
  <c r="I1073" i="1"/>
  <c r="J1073" i="1" s="1"/>
  <c r="I1072" i="1"/>
  <c r="J1072" i="1" s="1"/>
  <c r="I1070" i="1"/>
  <c r="J1070" i="1" s="1"/>
  <c r="I1069" i="1"/>
  <c r="J1069" i="1" s="1"/>
  <c r="I1068" i="1"/>
  <c r="J1068" i="1" s="1"/>
  <c r="I1067" i="1"/>
  <c r="I1066" i="1"/>
  <c r="I1065" i="1"/>
  <c r="J1065" i="1" s="1"/>
  <c r="I1064" i="1"/>
  <c r="J1064" i="1" s="1"/>
  <c r="I1063" i="1"/>
  <c r="J1063" i="1" s="1"/>
  <c r="I1062" i="1"/>
  <c r="J1062" i="1" s="1"/>
  <c r="I1061" i="1"/>
  <c r="J1061" i="1" s="1"/>
  <c r="I1060" i="1"/>
  <c r="J1060" i="1" s="1"/>
  <c r="I1059" i="1"/>
  <c r="J1059" i="1" s="1"/>
  <c r="I1058" i="1"/>
  <c r="J1058" i="1" s="1"/>
  <c r="I1057" i="1"/>
  <c r="J1057" i="1" s="1"/>
  <c r="I1056" i="1"/>
  <c r="J1056" i="1" s="1"/>
  <c r="I1055" i="1"/>
  <c r="I1054" i="1"/>
  <c r="I1053" i="1"/>
  <c r="J1053" i="1" s="1"/>
  <c r="I1052" i="1"/>
  <c r="J1052" i="1" s="1"/>
  <c r="I1051" i="1"/>
  <c r="J1051" i="1" s="1"/>
  <c r="I1050" i="1"/>
  <c r="J1050" i="1" s="1"/>
  <c r="I1049" i="1"/>
  <c r="J1049" i="1" s="1"/>
  <c r="I1048" i="1"/>
  <c r="J1048" i="1" s="1"/>
  <c r="I1047" i="1"/>
  <c r="J1047" i="1" s="1"/>
  <c r="I1046" i="1"/>
  <c r="J1046" i="1" s="1"/>
  <c r="I1045" i="1"/>
  <c r="J1045" i="1" s="1"/>
  <c r="I1044" i="1"/>
  <c r="J1044" i="1" s="1"/>
  <c r="I1043" i="1"/>
  <c r="J1043" i="1" s="1"/>
  <c r="I1042" i="1"/>
  <c r="J1042" i="1" s="1"/>
  <c r="I1041" i="1"/>
  <c r="J1041" i="1" s="1"/>
  <c r="I1040" i="1"/>
  <c r="J1040" i="1" s="1"/>
  <c r="I1039" i="1"/>
  <c r="J1039" i="1" s="1"/>
  <c r="I1038" i="1"/>
  <c r="J1038" i="1" s="1"/>
  <c r="I1037" i="1"/>
  <c r="J1037" i="1" s="1"/>
  <c r="I1036" i="1"/>
  <c r="J1036" i="1" s="1"/>
  <c r="I1035" i="1"/>
  <c r="J1035" i="1" s="1"/>
  <c r="I1034" i="1"/>
  <c r="J1034" i="1" s="1"/>
  <c r="I1033" i="1"/>
  <c r="J1033" i="1" s="1"/>
  <c r="I1032" i="1"/>
  <c r="J1032" i="1" s="1"/>
  <c r="I1031" i="1"/>
  <c r="J1031" i="1" s="1"/>
  <c r="I1030" i="1"/>
  <c r="J1030" i="1" s="1"/>
  <c r="I1029" i="1"/>
  <c r="J1029" i="1" s="1"/>
  <c r="I1028" i="1"/>
  <c r="J1028" i="1" s="1"/>
  <c r="I1027" i="1"/>
  <c r="J1027" i="1" s="1"/>
  <c r="I1026" i="1"/>
  <c r="J1026" i="1" s="1"/>
  <c r="I1025" i="1"/>
  <c r="J1025" i="1" s="1"/>
  <c r="I1024" i="1"/>
  <c r="J1024" i="1" s="1"/>
  <c r="I1023" i="1"/>
  <c r="J1023" i="1" s="1"/>
  <c r="I1022" i="1"/>
  <c r="J1022" i="1" s="1"/>
  <c r="I1021" i="1"/>
  <c r="J1021" i="1" s="1"/>
  <c r="I1020" i="1"/>
  <c r="J1020" i="1" s="1"/>
  <c r="I1019" i="1"/>
  <c r="J1019" i="1" s="1"/>
  <c r="I1018" i="1"/>
  <c r="J1018" i="1" s="1"/>
  <c r="I1017" i="1"/>
  <c r="J1017" i="1" s="1"/>
  <c r="I1016" i="1"/>
  <c r="J1016" i="1" s="1"/>
  <c r="I1015" i="1"/>
  <c r="J1015" i="1" s="1"/>
  <c r="I1014" i="1"/>
  <c r="J1014" i="1" s="1"/>
  <c r="I1013" i="1"/>
  <c r="J1013" i="1" s="1"/>
  <c r="I1012" i="1"/>
  <c r="J1012" i="1" s="1"/>
  <c r="I1011" i="1"/>
  <c r="J1011" i="1" s="1"/>
  <c r="I1010" i="1"/>
  <c r="J1010" i="1" s="1"/>
  <c r="I1009" i="1"/>
  <c r="J1009" i="1" s="1"/>
  <c r="I1008" i="1"/>
  <c r="J1008" i="1" s="1"/>
  <c r="I1007" i="1"/>
  <c r="J1007" i="1" s="1"/>
  <c r="I1006" i="1"/>
  <c r="J1006" i="1" s="1"/>
  <c r="I1005" i="1"/>
  <c r="J1005" i="1" s="1"/>
  <c r="I1004" i="1"/>
  <c r="J1004" i="1" s="1"/>
  <c r="I1002" i="1"/>
  <c r="J1002" i="1" s="1"/>
  <c r="I1001" i="1"/>
  <c r="J1001" i="1" s="1"/>
  <c r="I1000" i="1"/>
  <c r="J1000" i="1" s="1"/>
  <c r="I999" i="1"/>
  <c r="J999" i="1" s="1"/>
  <c r="I998" i="1"/>
  <c r="J998" i="1" s="1"/>
  <c r="I997" i="1"/>
  <c r="J997" i="1" s="1"/>
  <c r="I996" i="1"/>
  <c r="I995" i="1"/>
  <c r="J995" i="1" s="1"/>
  <c r="I994" i="1"/>
  <c r="I993" i="1"/>
  <c r="I992" i="1"/>
  <c r="J992" i="1" s="1"/>
  <c r="I991" i="1"/>
  <c r="J991" i="1" s="1"/>
  <c r="I990" i="1"/>
  <c r="J990" i="1" s="1"/>
  <c r="I989" i="1"/>
  <c r="J989" i="1" s="1"/>
  <c r="I988" i="1"/>
  <c r="J988" i="1" s="1"/>
  <c r="I987" i="1"/>
  <c r="J987" i="1" s="1"/>
  <c r="I986" i="1"/>
  <c r="J986" i="1" s="1"/>
  <c r="I985" i="1"/>
  <c r="J985" i="1" s="1"/>
  <c r="I984" i="1"/>
  <c r="J984" i="1" s="1"/>
  <c r="I983" i="1"/>
  <c r="J983" i="1" s="1"/>
  <c r="I982" i="1"/>
  <c r="J982" i="1" s="1"/>
  <c r="I981" i="1"/>
  <c r="J981" i="1" s="1"/>
  <c r="I980" i="1"/>
  <c r="J980" i="1" s="1"/>
  <c r="I979" i="1"/>
  <c r="J979" i="1" s="1"/>
  <c r="I978" i="1"/>
  <c r="J978" i="1" s="1"/>
  <c r="I977" i="1"/>
  <c r="J977" i="1" s="1"/>
  <c r="I976" i="1"/>
  <c r="J976" i="1" s="1"/>
  <c r="I975" i="1"/>
  <c r="J975" i="1" s="1"/>
  <c r="I974" i="1"/>
  <c r="J974" i="1" s="1"/>
  <c r="I973" i="1"/>
  <c r="J973" i="1" s="1"/>
  <c r="I972" i="1"/>
  <c r="J972" i="1" s="1"/>
  <c r="I971" i="1"/>
  <c r="J971" i="1" s="1"/>
  <c r="I970" i="1"/>
  <c r="J970" i="1" s="1"/>
  <c r="I969" i="1"/>
  <c r="J969" i="1" s="1"/>
  <c r="I968" i="1"/>
  <c r="I967" i="1"/>
  <c r="J967" i="1" s="1"/>
  <c r="I966" i="1"/>
  <c r="J966" i="1" s="1"/>
  <c r="I965" i="1"/>
  <c r="J965" i="1" s="1"/>
  <c r="I964" i="1"/>
  <c r="J964" i="1" s="1"/>
  <c r="I963" i="1"/>
  <c r="J963" i="1" s="1"/>
  <c r="I962" i="1"/>
  <c r="J962" i="1" s="1"/>
  <c r="I961" i="1"/>
  <c r="J961" i="1" s="1"/>
  <c r="I960" i="1"/>
  <c r="I959" i="1"/>
  <c r="J959" i="1" s="1"/>
  <c r="I958" i="1"/>
  <c r="I957" i="1"/>
  <c r="I956" i="1"/>
  <c r="J956" i="1" s="1"/>
  <c r="I955" i="1"/>
  <c r="J955" i="1" s="1"/>
  <c r="I954" i="1"/>
  <c r="J954" i="1" s="1"/>
  <c r="I953" i="1"/>
  <c r="J953" i="1" s="1"/>
  <c r="I952" i="1"/>
  <c r="J952" i="1" s="1"/>
  <c r="I951" i="1"/>
  <c r="J951" i="1" s="1"/>
  <c r="I950" i="1"/>
  <c r="J950" i="1" s="1"/>
  <c r="I949" i="1"/>
  <c r="J949" i="1" s="1"/>
  <c r="I948" i="1"/>
  <c r="J948" i="1" s="1"/>
  <c r="I947" i="1"/>
  <c r="J947" i="1" s="1"/>
  <c r="I946" i="1"/>
  <c r="J946" i="1" s="1"/>
  <c r="I945" i="1"/>
  <c r="J945" i="1" s="1"/>
  <c r="I944" i="1"/>
  <c r="J944" i="1" s="1"/>
  <c r="I943" i="1"/>
  <c r="J943" i="1" s="1"/>
  <c r="I942" i="1"/>
  <c r="J942" i="1" s="1"/>
  <c r="I941" i="1"/>
  <c r="J941" i="1" s="1"/>
  <c r="I940" i="1"/>
  <c r="J940" i="1" s="1"/>
  <c r="I939" i="1"/>
  <c r="J939" i="1" s="1"/>
  <c r="I938" i="1"/>
  <c r="J938" i="1" s="1"/>
  <c r="I937" i="1"/>
  <c r="J937" i="1" s="1"/>
  <c r="I936" i="1"/>
  <c r="J936" i="1" s="1"/>
  <c r="I935" i="1"/>
  <c r="J935" i="1" s="1"/>
  <c r="I934" i="1"/>
  <c r="J934" i="1" s="1"/>
  <c r="I932" i="1"/>
  <c r="I931" i="1"/>
  <c r="J931" i="1" s="1"/>
  <c r="I930" i="1"/>
  <c r="J930" i="1" s="1"/>
  <c r="I929" i="1"/>
  <c r="J929" i="1" s="1"/>
  <c r="I928" i="1"/>
  <c r="J928" i="1" s="1"/>
  <c r="I927" i="1"/>
  <c r="J927" i="1" s="1"/>
  <c r="I926" i="1"/>
  <c r="J926" i="1" s="1"/>
  <c r="I925" i="1"/>
  <c r="J925" i="1" s="1"/>
  <c r="I924" i="1"/>
  <c r="J924" i="1" s="1"/>
  <c r="I923" i="1"/>
  <c r="I922" i="1"/>
  <c r="J922" i="1" s="1"/>
  <c r="I921" i="1"/>
  <c r="I920" i="1"/>
  <c r="J920" i="1" s="1"/>
  <c r="I919" i="1"/>
  <c r="J919" i="1" s="1"/>
  <c r="I918" i="1"/>
  <c r="J918" i="1" s="1"/>
  <c r="I917" i="1"/>
  <c r="J917" i="1" s="1"/>
  <c r="I916" i="1"/>
  <c r="J916" i="1" s="1"/>
  <c r="I915" i="1"/>
  <c r="J915" i="1" s="1"/>
  <c r="I914" i="1"/>
  <c r="J914" i="1" s="1"/>
  <c r="I913" i="1"/>
  <c r="J913" i="1" s="1"/>
  <c r="I912" i="1"/>
  <c r="J912" i="1" s="1"/>
  <c r="I911" i="1"/>
  <c r="J911" i="1" s="1"/>
  <c r="I910" i="1"/>
  <c r="J910" i="1" s="1"/>
  <c r="I909" i="1"/>
  <c r="J909" i="1" s="1"/>
  <c r="I908" i="1"/>
  <c r="J908" i="1" s="1"/>
  <c r="I907" i="1"/>
  <c r="J907" i="1" s="1"/>
  <c r="I906" i="1"/>
  <c r="J906" i="1" s="1"/>
  <c r="I905" i="1"/>
  <c r="J905" i="1" s="1"/>
  <c r="I904" i="1"/>
  <c r="J904" i="1" s="1"/>
  <c r="I898" i="1"/>
  <c r="I897" i="1"/>
  <c r="I896" i="1"/>
  <c r="I895" i="1"/>
  <c r="I894" i="1"/>
  <c r="I893" i="1"/>
  <c r="I892" i="1"/>
  <c r="I890" i="1"/>
  <c r="I889" i="1"/>
  <c r="I887" i="1"/>
  <c r="J887" i="1" s="1"/>
  <c r="I886" i="1"/>
  <c r="J886" i="1" s="1"/>
  <c r="I885" i="1"/>
  <c r="J885" i="1" s="1"/>
  <c r="I884" i="1"/>
  <c r="J884" i="1" s="1"/>
  <c r="I883" i="1"/>
  <c r="J883" i="1" s="1"/>
  <c r="I882" i="1"/>
  <c r="J882" i="1" s="1"/>
  <c r="I881" i="1"/>
  <c r="J881" i="1" s="1"/>
  <c r="I880" i="1"/>
  <c r="J880" i="1" s="1"/>
  <c r="I879" i="1"/>
  <c r="J879" i="1" s="1"/>
  <c r="I878" i="1"/>
  <c r="J878" i="1" s="1"/>
  <c r="I877" i="1"/>
  <c r="J877" i="1" s="1"/>
  <c r="I876" i="1"/>
  <c r="J876" i="1" s="1"/>
  <c r="I875" i="1"/>
  <c r="J875" i="1" s="1"/>
  <c r="I874" i="1"/>
  <c r="J874" i="1" s="1"/>
  <c r="I873" i="1"/>
  <c r="J873" i="1" s="1"/>
  <c r="I872" i="1"/>
  <c r="J872" i="1" s="1"/>
  <c r="I871" i="1"/>
  <c r="J871" i="1" s="1"/>
  <c r="I870" i="1"/>
  <c r="I869" i="1"/>
  <c r="J869" i="1" s="1"/>
  <c r="I868" i="1"/>
  <c r="I867" i="1"/>
  <c r="J867" i="1" s="1"/>
  <c r="I866" i="1"/>
  <c r="J866" i="1" s="1"/>
  <c r="I865" i="1"/>
  <c r="J865" i="1" s="1"/>
  <c r="I864" i="1"/>
  <c r="J864" i="1" s="1"/>
  <c r="I863" i="1"/>
  <c r="J863" i="1" s="1"/>
  <c r="I862" i="1"/>
  <c r="J862" i="1" s="1"/>
  <c r="I861" i="1"/>
  <c r="J861" i="1" s="1"/>
  <c r="I860" i="1"/>
  <c r="J860" i="1" s="1"/>
  <c r="I859" i="1"/>
  <c r="J859" i="1" s="1"/>
  <c r="I858" i="1"/>
  <c r="I857" i="1"/>
  <c r="J857" i="1" s="1"/>
  <c r="I856" i="1"/>
  <c r="J856" i="1" s="1"/>
  <c r="I855" i="1"/>
  <c r="J855" i="1" s="1"/>
  <c r="I854" i="1"/>
  <c r="J854" i="1" s="1"/>
  <c r="I853" i="1"/>
  <c r="J853" i="1" s="1"/>
  <c r="I852" i="1"/>
  <c r="J852" i="1" s="1"/>
  <c r="I851" i="1"/>
  <c r="J851" i="1" s="1"/>
  <c r="I850" i="1"/>
  <c r="J850" i="1" s="1"/>
  <c r="I849" i="1"/>
  <c r="J849" i="1" s="1"/>
  <c r="I848" i="1"/>
  <c r="J848" i="1" s="1"/>
  <c r="I847" i="1"/>
  <c r="J847" i="1" s="1"/>
  <c r="I846" i="1"/>
  <c r="J846" i="1" s="1"/>
  <c r="I845" i="1"/>
  <c r="J845" i="1" s="1"/>
  <c r="I844" i="1"/>
  <c r="J844" i="1" s="1"/>
  <c r="I843" i="1"/>
  <c r="J843" i="1" s="1"/>
  <c r="I842" i="1"/>
  <c r="J842" i="1" s="1"/>
  <c r="I841" i="1"/>
  <c r="J841" i="1" s="1"/>
  <c r="I840" i="1"/>
  <c r="J840" i="1" s="1"/>
  <c r="I839" i="1"/>
  <c r="J839" i="1" s="1"/>
  <c r="I838" i="1"/>
  <c r="J838" i="1" s="1"/>
  <c r="I837" i="1"/>
  <c r="J837" i="1" s="1"/>
  <c r="I836" i="1"/>
  <c r="J836" i="1" s="1"/>
  <c r="I835" i="1"/>
  <c r="J835" i="1" s="1"/>
  <c r="I834" i="1"/>
  <c r="J834" i="1" s="1"/>
  <c r="I833" i="1"/>
  <c r="J833" i="1" s="1"/>
  <c r="I832" i="1"/>
  <c r="J832" i="1" s="1"/>
  <c r="I831" i="1"/>
  <c r="J831" i="1" s="1"/>
  <c r="I830" i="1"/>
  <c r="J830" i="1" s="1"/>
  <c r="I829" i="1"/>
  <c r="J829" i="1" s="1"/>
  <c r="I828" i="1"/>
  <c r="J828" i="1" s="1"/>
  <c r="I827" i="1"/>
  <c r="J827" i="1" s="1"/>
  <c r="I826" i="1"/>
  <c r="J826" i="1" s="1"/>
  <c r="I825" i="1"/>
  <c r="J825" i="1" s="1"/>
  <c r="I824" i="1"/>
  <c r="J824" i="1" s="1"/>
  <c r="I823" i="1"/>
  <c r="J823" i="1" s="1"/>
  <c r="I822" i="1"/>
  <c r="I821" i="1"/>
  <c r="J821" i="1" s="1"/>
  <c r="I820" i="1"/>
  <c r="I819" i="1"/>
  <c r="J819" i="1" s="1"/>
  <c r="I818" i="1"/>
  <c r="J818" i="1" s="1"/>
  <c r="I817" i="1"/>
  <c r="J817" i="1" s="1"/>
  <c r="I816" i="1"/>
  <c r="J816" i="1" s="1"/>
  <c r="I815" i="1"/>
  <c r="J815" i="1" s="1"/>
  <c r="I814" i="1"/>
  <c r="J814" i="1" s="1"/>
  <c r="I813" i="1"/>
  <c r="J813" i="1" s="1"/>
  <c r="I812" i="1"/>
  <c r="J812" i="1" s="1"/>
  <c r="I811" i="1"/>
  <c r="J811" i="1" s="1"/>
  <c r="I810" i="1"/>
  <c r="I809" i="1"/>
  <c r="J809" i="1" s="1"/>
  <c r="I808" i="1"/>
  <c r="J808" i="1" s="1"/>
  <c r="I807" i="1"/>
  <c r="J807" i="1" s="1"/>
  <c r="I806" i="1"/>
  <c r="J806" i="1" s="1"/>
  <c r="I805" i="1"/>
  <c r="J805" i="1" s="1"/>
  <c r="I804" i="1"/>
  <c r="J804" i="1" s="1"/>
  <c r="I803" i="1"/>
  <c r="J803" i="1" s="1"/>
  <c r="I802" i="1"/>
  <c r="J802" i="1" s="1"/>
  <c r="I801" i="1"/>
  <c r="J801" i="1" s="1"/>
  <c r="I800" i="1"/>
  <c r="J800" i="1" s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48" i="1"/>
  <c r="J748" i="1" s="1"/>
  <c r="I747" i="1"/>
  <c r="J747" i="1" s="1"/>
  <c r="I746" i="1"/>
  <c r="J746" i="1" s="1"/>
  <c r="I745" i="1"/>
  <c r="J745" i="1" s="1"/>
  <c r="I744" i="1"/>
  <c r="J744" i="1" s="1"/>
  <c r="I743" i="1"/>
  <c r="J743" i="1" s="1"/>
  <c r="I742" i="1"/>
  <c r="J742" i="1" s="1"/>
  <c r="I741" i="1"/>
  <c r="J741" i="1" s="1"/>
  <c r="I740" i="1"/>
  <c r="J740" i="1" s="1"/>
  <c r="I739" i="1"/>
  <c r="J739" i="1" s="1"/>
  <c r="I738" i="1"/>
  <c r="J738" i="1" s="1"/>
  <c r="I737" i="1"/>
  <c r="J737" i="1" s="1"/>
  <c r="I736" i="1"/>
  <c r="J736" i="1" s="1"/>
  <c r="I735" i="1"/>
  <c r="J735" i="1" s="1"/>
  <c r="I734" i="1"/>
  <c r="J734" i="1" s="1"/>
  <c r="I733" i="1"/>
  <c r="J733" i="1" s="1"/>
  <c r="I732" i="1"/>
  <c r="J732" i="1" s="1"/>
  <c r="I731" i="1"/>
  <c r="J731" i="1" s="1"/>
  <c r="I730" i="1"/>
  <c r="J730" i="1" s="1"/>
  <c r="I729" i="1"/>
  <c r="J729" i="1" s="1"/>
  <c r="I728" i="1"/>
  <c r="J728" i="1" s="1"/>
  <c r="I727" i="1"/>
  <c r="J727" i="1" s="1"/>
  <c r="I726" i="1"/>
  <c r="J726" i="1" s="1"/>
  <c r="I725" i="1"/>
  <c r="J725" i="1" s="1"/>
  <c r="I724" i="1"/>
  <c r="J724" i="1" s="1"/>
  <c r="I723" i="1"/>
  <c r="J723" i="1" s="1"/>
  <c r="I722" i="1"/>
  <c r="J722" i="1" s="1"/>
  <c r="I721" i="1"/>
  <c r="J721" i="1" s="1"/>
  <c r="I720" i="1"/>
  <c r="J720" i="1" s="1"/>
  <c r="I719" i="1"/>
  <c r="J719" i="1" s="1"/>
  <c r="I718" i="1"/>
  <c r="J718" i="1" s="1"/>
  <c r="I717" i="1"/>
  <c r="J717" i="1" s="1"/>
  <c r="I716" i="1"/>
  <c r="J716" i="1" s="1"/>
  <c r="I715" i="1"/>
  <c r="J715" i="1" s="1"/>
  <c r="I714" i="1"/>
  <c r="J714" i="1" s="1"/>
  <c r="I713" i="1"/>
  <c r="J713" i="1" s="1"/>
  <c r="I712" i="1"/>
  <c r="J712" i="1" s="1"/>
  <c r="I711" i="1"/>
  <c r="J711" i="1" s="1"/>
  <c r="I710" i="1"/>
  <c r="J710" i="1" s="1"/>
  <c r="I709" i="1"/>
  <c r="J709" i="1" s="1"/>
  <c r="I708" i="1"/>
  <c r="J708" i="1" s="1"/>
  <c r="I707" i="1"/>
  <c r="J707" i="1" s="1"/>
  <c r="I706" i="1"/>
  <c r="J706" i="1" s="1"/>
  <c r="I705" i="1"/>
  <c r="J705" i="1" s="1"/>
  <c r="I704" i="1"/>
  <c r="J704" i="1" s="1"/>
  <c r="I703" i="1"/>
  <c r="J703" i="1" s="1"/>
  <c r="I702" i="1"/>
  <c r="J702" i="1" s="1"/>
  <c r="I701" i="1"/>
  <c r="J701" i="1" s="1"/>
  <c r="I700" i="1"/>
  <c r="J700" i="1" s="1"/>
  <c r="I699" i="1"/>
  <c r="J699" i="1" s="1"/>
  <c r="I698" i="1"/>
  <c r="J698" i="1" s="1"/>
  <c r="I697" i="1"/>
  <c r="J697" i="1" s="1"/>
  <c r="I696" i="1"/>
  <c r="I695" i="1"/>
  <c r="J695" i="1" s="1"/>
  <c r="I694" i="1"/>
  <c r="J694" i="1" s="1"/>
  <c r="I693" i="1"/>
  <c r="J693" i="1" s="1"/>
  <c r="I692" i="1"/>
  <c r="J692" i="1" s="1"/>
  <c r="I691" i="1"/>
  <c r="J691" i="1" s="1"/>
  <c r="I690" i="1"/>
  <c r="J690" i="1" s="1"/>
  <c r="I689" i="1"/>
  <c r="J689" i="1" s="1"/>
  <c r="I688" i="1"/>
  <c r="J688" i="1" s="1"/>
  <c r="I687" i="1"/>
  <c r="J687" i="1" s="1"/>
  <c r="I686" i="1"/>
  <c r="J686" i="1" s="1"/>
  <c r="I685" i="1"/>
  <c r="J685" i="1" s="1"/>
  <c r="I684" i="1"/>
  <c r="J684" i="1" s="1"/>
  <c r="I683" i="1"/>
  <c r="J683" i="1" s="1"/>
  <c r="I682" i="1"/>
  <c r="J682" i="1" s="1"/>
  <c r="I681" i="1"/>
  <c r="J681" i="1" s="1"/>
  <c r="I680" i="1"/>
  <c r="J680" i="1" s="1"/>
  <c r="I679" i="1"/>
  <c r="J679" i="1" s="1"/>
  <c r="I678" i="1"/>
  <c r="J678" i="1" s="1"/>
  <c r="I677" i="1"/>
  <c r="J677" i="1" s="1"/>
  <c r="I676" i="1"/>
  <c r="J676" i="1" s="1"/>
  <c r="I675" i="1"/>
  <c r="J675" i="1" s="1"/>
  <c r="I674" i="1"/>
  <c r="J674" i="1" s="1"/>
  <c r="I673" i="1"/>
  <c r="J673" i="1" s="1"/>
  <c r="I672" i="1"/>
  <c r="J672" i="1" s="1"/>
  <c r="I671" i="1"/>
  <c r="J671" i="1" s="1"/>
  <c r="I670" i="1"/>
  <c r="J670" i="1" s="1"/>
  <c r="I669" i="1"/>
  <c r="J669" i="1" s="1"/>
  <c r="I668" i="1"/>
  <c r="J668" i="1" s="1"/>
  <c r="I667" i="1"/>
  <c r="J667" i="1" s="1"/>
  <c r="I666" i="1"/>
  <c r="J666" i="1" s="1"/>
  <c r="I665" i="1"/>
  <c r="J665" i="1" s="1"/>
  <c r="I664" i="1"/>
  <c r="J664" i="1" s="1"/>
  <c r="I663" i="1"/>
  <c r="J663" i="1" s="1"/>
  <c r="I662" i="1"/>
  <c r="J662" i="1" s="1"/>
  <c r="I661" i="1"/>
  <c r="J661" i="1" s="1"/>
  <c r="I660" i="1"/>
  <c r="J660" i="1" s="1"/>
  <c r="I659" i="1"/>
  <c r="J659" i="1" s="1"/>
  <c r="I658" i="1"/>
  <c r="J658" i="1" s="1"/>
  <c r="I657" i="1"/>
  <c r="J657" i="1" s="1"/>
  <c r="I656" i="1"/>
  <c r="J656" i="1" s="1"/>
  <c r="I655" i="1"/>
  <c r="J655" i="1" s="1"/>
  <c r="I654" i="1"/>
  <c r="J654" i="1" s="1"/>
  <c r="I653" i="1"/>
  <c r="J653" i="1" s="1"/>
  <c r="I652" i="1"/>
  <c r="J652" i="1" s="1"/>
  <c r="I651" i="1"/>
  <c r="J651" i="1" s="1"/>
  <c r="I650" i="1"/>
  <c r="J650" i="1" s="1"/>
  <c r="I649" i="1"/>
  <c r="J649" i="1" s="1"/>
  <c r="I648" i="1"/>
  <c r="J648" i="1" s="1"/>
  <c r="I647" i="1"/>
  <c r="J647" i="1" s="1"/>
  <c r="I646" i="1"/>
  <c r="J646" i="1" s="1"/>
  <c r="I645" i="1"/>
  <c r="J645" i="1" s="1"/>
  <c r="I644" i="1"/>
  <c r="J644" i="1" s="1"/>
  <c r="I643" i="1"/>
  <c r="J643" i="1" s="1"/>
  <c r="I642" i="1"/>
  <c r="J642" i="1" s="1"/>
  <c r="I641" i="1"/>
  <c r="J641" i="1" s="1"/>
  <c r="I640" i="1"/>
  <c r="J640" i="1" s="1"/>
  <c r="I639" i="1"/>
  <c r="J639" i="1" s="1"/>
  <c r="I638" i="1"/>
  <c r="J638" i="1" s="1"/>
  <c r="I637" i="1"/>
  <c r="J637" i="1" s="1"/>
  <c r="I636" i="1"/>
  <c r="J636" i="1" s="1"/>
  <c r="I631" i="1"/>
  <c r="J631" i="1" s="1"/>
  <c r="I630" i="1"/>
  <c r="J630" i="1" s="1"/>
  <c r="I628" i="1"/>
  <c r="J628" i="1" s="1"/>
  <c r="I627" i="1"/>
  <c r="J627" i="1" s="1"/>
  <c r="I626" i="1"/>
  <c r="J626" i="1" s="1"/>
  <c r="I625" i="1"/>
  <c r="J625" i="1" s="1"/>
  <c r="I624" i="1"/>
  <c r="J624" i="1" s="1"/>
  <c r="I623" i="1"/>
  <c r="J623" i="1" s="1"/>
  <c r="I622" i="1"/>
  <c r="J622" i="1" s="1"/>
  <c r="I621" i="1"/>
  <c r="J621" i="1" s="1"/>
  <c r="I620" i="1"/>
  <c r="J620" i="1" s="1"/>
  <c r="I619" i="1"/>
  <c r="I618" i="1"/>
  <c r="J618" i="1" s="1"/>
  <c r="I617" i="1"/>
  <c r="J617" i="1" s="1"/>
  <c r="I615" i="1"/>
  <c r="J615" i="1" s="1"/>
  <c r="I614" i="1"/>
  <c r="J614" i="1" s="1"/>
  <c r="I613" i="1"/>
  <c r="J613" i="1" s="1"/>
  <c r="I612" i="1"/>
  <c r="J612" i="1" s="1"/>
  <c r="I611" i="1"/>
  <c r="J611" i="1" s="1"/>
  <c r="I610" i="1"/>
  <c r="J610" i="1" s="1"/>
  <c r="I609" i="1"/>
  <c r="J609" i="1" s="1"/>
  <c r="I608" i="1"/>
  <c r="J608" i="1" s="1"/>
  <c r="I607" i="1"/>
  <c r="J607" i="1" s="1"/>
  <c r="I606" i="1"/>
  <c r="J606" i="1" s="1"/>
  <c r="I605" i="1"/>
  <c r="J605" i="1" s="1"/>
  <c r="I604" i="1"/>
  <c r="J604" i="1" s="1"/>
  <c r="I603" i="1"/>
  <c r="J603" i="1" s="1"/>
  <c r="I602" i="1"/>
  <c r="J602" i="1" s="1"/>
  <c r="I601" i="1"/>
  <c r="J601" i="1" s="1"/>
  <c r="I600" i="1"/>
  <c r="J600" i="1" s="1"/>
  <c r="I598" i="1"/>
  <c r="J598" i="1" s="1"/>
  <c r="I597" i="1"/>
  <c r="J597" i="1" s="1"/>
  <c r="I596" i="1"/>
  <c r="J596" i="1" s="1"/>
  <c r="I595" i="1"/>
  <c r="J595" i="1" s="1"/>
  <c r="I594" i="1"/>
  <c r="J594" i="1" s="1"/>
  <c r="I593" i="1"/>
  <c r="J593" i="1" s="1"/>
  <c r="I592" i="1"/>
  <c r="J592" i="1" s="1"/>
  <c r="I591" i="1"/>
  <c r="J591" i="1" s="1"/>
  <c r="I590" i="1"/>
  <c r="J590" i="1" s="1"/>
  <c r="I589" i="1"/>
  <c r="J589" i="1" s="1"/>
  <c r="I588" i="1"/>
  <c r="J588" i="1" s="1"/>
  <c r="I587" i="1"/>
  <c r="J587" i="1" s="1"/>
  <c r="I586" i="1"/>
  <c r="J586" i="1" s="1"/>
  <c r="I585" i="1"/>
  <c r="J585" i="1" s="1"/>
  <c r="I584" i="1"/>
  <c r="J584" i="1" s="1"/>
  <c r="I583" i="1"/>
  <c r="J583" i="1" s="1"/>
  <c r="I580" i="1"/>
  <c r="J580" i="1" s="1"/>
  <c r="I579" i="1"/>
  <c r="J579" i="1" s="1"/>
  <c r="I578" i="1"/>
  <c r="J578" i="1" s="1"/>
  <c r="I577" i="1"/>
  <c r="J577" i="1" s="1"/>
  <c r="I576" i="1"/>
  <c r="J576" i="1" s="1"/>
  <c r="I575" i="1"/>
  <c r="J575" i="1" s="1"/>
  <c r="I574" i="1"/>
  <c r="I573" i="1"/>
  <c r="J573" i="1" s="1"/>
  <c r="I572" i="1"/>
  <c r="J572" i="1" s="1"/>
  <c r="I571" i="1"/>
  <c r="J571" i="1" s="1"/>
  <c r="I570" i="1"/>
  <c r="I569" i="1"/>
  <c r="J569" i="1" s="1"/>
  <c r="I568" i="1"/>
  <c r="J568" i="1" s="1"/>
  <c r="I567" i="1"/>
  <c r="J567" i="1" s="1"/>
  <c r="I566" i="1"/>
  <c r="J566" i="1" s="1"/>
  <c r="I565" i="1"/>
  <c r="J565" i="1" s="1"/>
  <c r="I564" i="1"/>
  <c r="J564" i="1" s="1"/>
  <c r="I563" i="1"/>
  <c r="J563" i="1" s="1"/>
  <c r="I562" i="1"/>
  <c r="J562" i="1" s="1"/>
  <c r="I561" i="1"/>
  <c r="J561" i="1" s="1"/>
  <c r="I560" i="1"/>
  <c r="J560" i="1" s="1"/>
  <c r="I559" i="1"/>
  <c r="J559" i="1" s="1"/>
  <c r="I558" i="1"/>
  <c r="J558" i="1" s="1"/>
  <c r="I557" i="1"/>
  <c r="J557" i="1" s="1"/>
  <c r="I556" i="1"/>
  <c r="J556" i="1" s="1"/>
  <c r="I555" i="1"/>
  <c r="J555" i="1" s="1"/>
  <c r="I554" i="1"/>
  <c r="J554" i="1" s="1"/>
  <c r="I553" i="1"/>
  <c r="J553" i="1" s="1"/>
  <c r="I552" i="1"/>
  <c r="J552" i="1" s="1"/>
  <c r="I551" i="1"/>
  <c r="J551" i="1" s="1"/>
  <c r="I550" i="1"/>
  <c r="J550" i="1" s="1"/>
  <c r="I549" i="1"/>
  <c r="J549" i="1" s="1"/>
  <c r="I548" i="1"/>
  <c r="J548" i="1" s="1"/>
  <c r="I547" i="1"/>
  <c r="J547" i="1" s="1"/>
  <c r="I546" i="1"/>
  <c r="J546" i="1" s="1"/>
  <c r="I545" i="1"/>
  <c r="J545" i="1" s="1"/>
  <c r="I544" i="1"/>
  <c r="J544" i="1" s="1"/>
  <c r="I543" i="1"/>
  <c r="J543" i="1" s="1"/>
  <c r="I541" i="1"/>
  <c r="J541" i="1" s="1"/>
  <c r="I540" i="1"/>
  <c r="J540" i="1" s="1"/>
  <c r="I539" i="1"/>
  <c r="J539" i="1" s="1"/>
  <c r="I538" i="1"/>
  <c r="J538" i="1" s="1"/>
  <c r="I537" i="1"/>
  <c r="J537" i="1" s="1"/>
  <c r="I536" i="1"/>
  <c r="J536" i="1" s="1"/>
  <c r="I535" i="1"/>
  <c r="J535" i="1" s="1"/>
  <c r="I534" i="1"/>
  <c r="J534" i="1" s="1"/>
  <c r="I533" i="1"/>
  <c r="J533" i="1" s="1"/>
  <c r="I532" i="1"/>
  <c r="J532" i="1" s="1"/>
  <c r="I531" i="1"/>
  <c r="J531" i="1" s="1"/>
  <c r="I530" i="1"/>
  <c r="J530" i="1" s="1"/>
  <c r="I529" i="1"/>
  <c r="J529" i="1" s="1"/>
  <c r="I528" i="1"/>
  <c r="J528" i="1" s="1"/>
  <c r="I527" i="1"/>
  <c r="J527" i="1" s="1"/>
  <c r="I526" i="1"/>
  <c r="I525" i="1"/>
  <c r="I524" i="1"/>
  <c r="J524" i="1" s="1"/>
  <c r="I523" i="1"/>
  <c r="J523" i="1" s="1"/>
  <c r="I522" i="1"/>
  <c r="J522" i="1" s="1"/>
  <c r="I521" i="1"/>
  <c r="J521" i="1" s="1"/>
  <c r="I520" i="1"/>
  <c r="J520" i="1" s="1"/>
  <c r="I519" i="1"/>
  <c r="J519" i="1" s="1"/>
  <c r="I518" i="1"/>
  <c r="J518" i="1" s="1"/>
  <c r="I517" i="1"/>
  <c r="J517" i="1" s="1"/>
  <c r="I516" i="1"/>
  <c r="J516" i="1" s="1"/>
  <c r="I515" i="1"/>
  <c r="J515" i="1" s="1"/>
  <c r="I514" i="1"/>
  <c r="J514" i="1" s="1"/>
  <c r="I513" i="1"/>
  <c r="J513" i="1" s="1"/>
  <c r="I512" i="1"/>
  <c r="J512" i="1" s="1"/>
  <c r="I511" i="1"/>
  <c r="J511" i="1" s="1"/>
  <c r="I510" i="1"/>
  <c r="J510" i="1" s="1"/>
  <c r="I509" i="1"/>
  <c r="J509" i="1" s="1"/>
  <c r="I508" i="1"/>
  <c r="J508" i="1" s="1"/>
  <c r="I507" i="1"/>
  <c r="J507" i="1" s="1"/>
  <c r="I506" i="1"/>
  <c r="J506" i="1" s="1"/>
  <c r="I505" i="1"/>
  <c r="J505" i="1" s="1"/>
  <c r="I504" i="1"/>
  <c r="I500" i="1"/>
  <c r="L500" i="1" s="1"/>
  <c r="G500" i="1"/>
  <c r="K500" i="1" s="1"/>
  <c r="E500" i="1"/>
  <c r="J500" i="1" s="1"/>
  <c r="I499" i="1"/>
  <c r="L499" i="1" s="1"/>
  <c r="G499" i="1"/>
  <c r="K499" i="1" s="1"/>
  <c r="E499" i="1"/>
  <c r="J499" i="1" s="1"/>
  <c r="I498" i="1"/>
  <c r="L498" i="1" s="1"/>
  <c r="G498" i="1"/>
  <c r="K498" i="1" s="1"/>
  <c r="E498" i="1"/>
  <c r="J498" i="1" s="1"/>
  <c r="I497" i="1"/>
  <c r="L497" i="1" s="1"/>
  <c r="G497" i="1"/>
  <c r="K497" i="1" s="1"/>
  <c r="E497" i="1"/>
  <c r="J497" i="1" s="1"/>
  <c r="I496" i="1"/>
  <c r="L496" i="1" s="1"/>
  <c r="G496" i="1"/>
  <c r="K496" i="1" s="1"/>
  <c r="E496" i="1"/>
  <c r="J496" i="1" s="1"/>
  <c r="I495" i="1"/>
  <c r="L495" i="1" s="1"/>
  <c r="G495" i="1"/>
  <c r="K495" i="1" s="1"/>
  <c r="E495" i="1"/>
  <c r="J495" i="1" s="1"/>
  <c r="I494" i="1"/>
  <c r="L494" i="1" s="1"/>
  <c r="G494" i="1"/>
  <c r="K494" i="1" s="1"/>
  <c r="E494" i="1"/>
  <c r="J494" i="1" s="1"/>
  <c r="I493" i="1"/>
  <c r="L493" i="1" s="1"/>
  <c r="G493" i="1"/>
  <c r="K493" i="1" s="1"/>
  <c r="E493" i="1"/>
  <c r="J493" i="1" s="1"/>
  <c r="I492" i="1"/>
  <c r="L492" i="1" s="1"/>
  <c r="G492" i="1"/>
  <c r="K492" i="1" s="1"/>
  <c r="E492" i="1"/>
  <c r="J492" i="1" s="1"/>
  <c r="I491" i="1"/>
  <c r="L491" i="1" s="1"/>
  <c r="G491" i="1"/>
  <c r="K491" i="1" s="1"/>
  <c r="E491" i="1"/>
  <c r="J491" i="1" s="1"/>
  <c r="I490" i="1"/>
  <c r="L490" i="1" s="1"/>
  <c r="G490" i="1"/>
  <c r="K490" i="1" s="1"/>
  <c r="E490" i="1"/>
  <c r="J490" i="1" s="1"/>
  <c r="I489" i="1"/>
  <c r="L489" i="1" s="1"/>
  <c r="G489" i="1"/>
  <c r="K489" i="1" s="1"/>
  <c r="E489" i="1"/>
  <c r="J489" i="1" s="1"/>
  <c r="I488" i="1"/>
  <c r="L488" i="1" s="1"/>
  <c r="G488" i="1"/>
  <c r="K488" i="1" s="1"/>
  <c r="E488" i="1"/>
  <c r="J488" i="1" s="1"/>
  <c r="I487" i="1"/>
  <c r="L487" i="1" s="1"/>
  <c r="G487" i="1"/>
  <c r="K487" i="1" s="1"/>
  <c r="E487" i="1"/>
  <c r="J487" i="1" s="1"/>
  <c r="I486" i="1"/>
  <c r="L486" i="1" s="1"/>
  <c r="G486" i="1"/>
  <c r="K486" i="1" s="1"/>
  <c r="E486" i="1"/>
  <c r="J486" i="1" s="1"/>
  <c r="I485" i="1"/>
  <c r="L485" i="1" s="1"/>
  <c r="G485" i="1"/>
  <c r="K485" i="1" s="1"/>
  <c r="E485" i="1"/>
  <c r="J485" i="1" s="1"/>
  <c r="I484" i="1"/>
  <c r="L484" i="1" s="1"/>
  <c r="G484" i="1"/>
  <c r="K484" i="1" s="1"/>
  <c r="E484" i="1"/>
  <c r="J484" i="1" s="1"/>
  <c r="I483" i="1"/>
  <c r="L483" i="1" s="1"/>
  <c r="G483" i="1"/>
  <c r="K483" i="1" s="1"/>
  <c r="E483" i="1"/>
  <c r="J483" i="1" s="1"/>
  <c r="I482" i="1"/>
  <c r="L482" i="1" s="1"/>
  <c r="G482" i="1"/>
  <c r="K482" i="1" s="1"/>
  <c r="E482" i="1"/>
  <c r="J482" i="1" s="1"/>
  <c r="I480" i="1"/>
  <c r="L480" i="1" s="1"/>
  <c r="G480" i="1"/>
  <c r="K480" i="1" s="1"/>
  <c r="E480" i="1"/>
  <c r="J480" i="1" s="1"/>
  <c r="I479" i="1"/>
  <c r="L479" i="1" s="1"/>
  <c r="G479" i="1"/>
  <c r="K479" i="1" s="1"/>
  <c r="E479" i="1"/>
  <c r="J479" i="1" s="1"/>
  <c r="I478" i="1"/>
  <c r="L478" i="1" s="1"/>
  <c r="G478" i="1"/>
  <c r="K478" i="1" s="1"/>
  <c r="E478" i="1"/>
  <c r="J478" i="1" s="1"/>
  <c r="I477" i="1"/>
  <c r="L477" i="1" s="1"/>
  <c r="G477" i="1"/>
  <c r="K477" i="1" s="1"/>
  <c r="E477" i="1"/>
  <c r="J477" i="1" s="1"/>
  <c r="I476" i="1"/>
  <c r="L476" i="1" s="1"/>
  <c r="G476" i="1"/>
  <c r="K476" i="1" s="1"/>
  <c r="E476" i="1"/>
  <c r="J476" i="1" s="1"/>
  <c r="I475" i="1"/>
  <c r="L475" i="1" s="1"/>
  <c r="G475" i="1"/>
  <c r="K475" i="1" s="1"/>
  <c r="E475" i="1"/>
  <c r="J475" i="1" s="1"/>
  <c r="I474" i="1"/>
  <c r="L474" i="1" s="1"/>
  <c r="G474" i="1"/>
  <c r="K474" i="1" s="1"/>
  <c r="E474" i="1"/>
  <c r="J474" i="1" s="1"/>
  <c r="I473" i="1"/>
  <c r="L473" i="1" s="1"/>
  <c r="G473" i="1"/>
  <c r="K473" i="1" s="1"/>
  <c r="E473" i="1"/>
  <c r="J473" i="1" s="1"/>
  <c r="I472" i="1"/>
  <c r="L472" i="1" s="1"/>
  <c r="G472" i="1"/>
  <c r="K472" i="1" s="1"/>
  <c r="E472" i="1"/>
  <c r="J472" i="1" s="1"/>
  <c r="I471" i="1"/>
  <c r="L471" i="1" s="1"/>
  <c r="G471" i="1"/>
  <c r="K471" i="1" s="1"/>
  <c r="E471" i="1"/>
  <c r="J471" i="1" s="1"/>
  <c r="I470" i="1"/>
  <c r="L470" i="1" s="1"/>
  <c r="G470" i="1"/>
  <c r="K470" i="1" s="1"/>
  <c r="E470" i="1"/>
  <c r="J470" i="1" s="1"/>
  <c r="I469" i="1"/>
  <c r="L469" i="1" s="1"/>
  <c r="G469" i="1"/>
  <c r="K469" i="1" s="1"/>
  <c r="E469" i="1"/>
  <c r="J469" i="1" s="1"/>
  <c r="I468" i="1"/>
  <c r="L468" i="1" s="1"/>
  <c r="G468" i="1"/>
  <c r="K468" i="1" s="1"/>
  <c r="E468" i="1"/>
  <c r="J468" i="1" s="1"/>
  <c r="I467" i="1"/>
  <c r="L467" i="1" s="1"/>
  <c r="G467" i="1"/>
  <c r="K467" i="1" s="1"/>
  <c r="E467" i="1"/>
  <c r="J467" i="1" s="1"/>
  <c r="I466" i="1"/>
  <c r="L466" i="1" s="1"/>
  <c r="G466" i="1"/>
  <c r="K466" i="1" s="1"/>
  <c r="E466" i="1"/>
  <c r="J466" i="1" s="1"/>
  <c r="I465" i="1"/>
  <c r="L465" i="1" s="1"/>
  <c r="G465" i="1"/>
  <c r="K465" i="1" s="1"/>
  <c r="E465" i="1"/>
  <c r="J465" i="1" s="1"/>
  <c r="I464" i="1"/>
  <c r="L464" i="1" s="1"/>
  <c r="G464" i="1"/>
  <c r="K464" i="1" s="1"/>
  <c r="E464" i="1"/>
  <c r="J464" i="1" s="1"/>
  <c r="I463" i="1"/>
  <c r="L463" i="1" s="1"/>
  <c r="G463" i="1"/>
  <c r="K463" i="1" s="1"/>
  <c r="E463" i="1"/>
  <c r="J463" i="1" s="1"/>
  <c r="I462" i="1"/>
  <c r="L462" i="1" s="1"/>
  <c r="G462" i="1"/>
  <c r="K462" i="1" s="1"/>
  <c r="E462" i="1"/>
  <c r="J462" i="1" s="1"/>
  <c r="I460" i="1"/>
  <c r="L460" i="1" s="1"/>
  <c r="G460" i="1"/>
  <c r="K460" i="1" s="1"/>
  <c r="E460" i="1"/>
  <c r="J460" i="1" s="1"/>
  <c r="I459" i="1"/>
  <c r="L459" i="1" s="1"/>
  <c r="G459" i="1"/>
  <c r="K459" i="1" s="1"/>
  <c r="E459" i="1"/>
  <c r="J459" i="1" s="1"/>
  <c r="I458" i="1"/>
  <c r="L458" i="1" s="1"/>
  <c r="G458" i="1"/>
  <c r="K458" i="1" s="1"/>
  <c r="E458" i="1"/>
  <c r="J458" i="1" s="1"/>
  <c r="I457" i="1"/>
  <c r="L457" i="1" s="1"/>
  <c r="G457" i="1"/>
  <c r="K457" i="1" s="1"/>
  <c r="E457" i="1"/>
  <c r="J457" i="1" s="1"/>
  <c r="I456" i="1"/>
  <c r="L456" i="1" s="1"/>
  <c r="G456" i="1"/>
  <c r="K456" i="1" s="1"/>
  <c r="E456" i="1"/>
  <c r="J456" i="1" s="1"/>
  <c r="I455" i="1"/>
  <c r="L455" i="1" s="1"/>
  <c r="G455" i="1"/>
  <c r="K455" i="1" s="1"/>
  <c r="E455" i="1"/>
  <c r="J455" i="1" s="1"/>
  <c r="I454" i="1"/>
  <c r="L454" i="1" s="1"/>
  <c r="G454" i="1"/>
  <c r="K454" i="1" s="1"/>
  <c r="E454" i="1"/>
  <c r="J454" i="1" s="1"/>
  <c r="I453" i="1"/>
  <c r="L453" i="1" s="1"/>
  <c r="G453" i="1"/>
  <c r="K453" i="1" s="1"/>
  <c r="E453" i="1"/>
  <c r="J453" i="1" s="1"/>
  <c r="I452" i="1"/>
  <c r="L452" i="1" s="1"/>
  <c r="G452" i="1"/>
  <c r="K452" i="1" s="1"/>
  <c r="E452" i="1"/>
  <c r="J452" i="1" s="1"/>
  <c r="I451" i="1"/>
  <c r="L451" i="1" s="1"/>
  <c r="G451" i="1"/>
  <c r="K451" i="1" s="1"/>
  <c r="E451" i="1"/>
  <c r="J451" i="1" s="1"/>
  <c r="I450" i="1"/>
  <c r="L450" i="1" s="1"/>
  <c r="G450" i="1"/>
  <c r="K450" i="1" s="1"/>
  <c r="E450" i="1"/>
  <c r="J450" i="1" s="1"/>
  <c r="I449" i="1"/>
  <c r="L449" i="1" s="1"/>
  <c r="G449" i="1"/>
  <c r="K449" i="1" s="1"/>
  <c r="E449" i="1"/>
  <c r="J449" i="1" s="1"/>
  <c r="I448" i="1"/>
  <c r="L448" i="1" s="1"/>
  <c r="G448" i="1"/>
  <c r="K448" i="1" s="1"/>
  <c r="E448" i="1"/>
  <c r="J448" i="1" s="1"/>
  <c r="I447" i="1"/>
  <c r="L447" i="1" s="1"/>
  <c r="G447" i="1"/>
  <c r="K447" i="1" s="1"/>
  <c r="E447" i="1"/>
  <c r="J447" i="1" s="1"/>
  <c r="I446" i="1"/>
  <c r="L446" i="1" s="1"/>
  <c r="G446" i="1"/>
  <c r="K446" i="1" s="1"/>
  <c r="E446" i="1"/>
  <c r="J446" i="1" s="1"/>
  <c r="I445" i="1"/>
  <c r="L445" i="1" s="1"/>
  <c r="G445" i="1"/>
  <c r="K445" i="1" s="1"/>
  <c r="E445" i="1"/>
  <c r="J445" i="1" s="1"/>
  <c r="I444" i="1"/>
  <c r="L444" i="1" s="1"/>
  <c r="G444" i="1"/>
  <c r="K444" i="1" s="1"/>
  <c r="E444" i="1"/>
  <c r="J444" i="1" s="1"/>
  <c r="I443" i="1"/>
  <c r="L443" i="1" s="1"/>
  <c r="G443" i="1"/>
  <c r="K443" i="1" s="1"/>
  <c r="E443" i="1"/>
  <c r="J443" i="1" s="1"/>
  <c r="I442" i="1"/>
  <c r="L442" i="1" s="1"/>
  <c r="G442" i="1"/>
  <c r="K442" i="1" s="1"/>
  <c r="E442" i="1"/>
  <c r="J442" i="1" s="1"/>
  <c r="I438" i="1"/>
  <c r="L438" i="1" s="1"/>
  <c r="G438" i="1"/>
  <c r="K438" i="1" s="1"/>
  <c r="E438" i="1"/>
  <c r="J438" i="1" s="1"/>
  <c r="I437" i="1"/>
  <c r="L437" i="1" s="1"/>
  <c r="G437" i="1"/>
  <c r="K437" i="1" s="1"/>
  <c r="E437" i="1"/>
  <c r="J437" i="1" s="1"/>
  <c r="I436" i="1"/>
  <c r="L436" i="1" s="1"/>
  <c r="G436" i="1"/>
  <c r="K436" i="1" s="1"/>
  <c r="E436" i="1"/>
  <c r="J436" i="1" s="1"/>
  <c r="I435" i="1"/>
  <c r="L435" i="1" s="1"/>
  <c r="G435" i="1"/>
  <c r="K435" i="1" s="1"/>
  <c r="E435" i="1"/>
  <c r="J435" i="1" s="1"/>
  <c r="I434" i="1"/>
  <c r="L434" i="1" s="1"/>
  <c r="G434" i="1"/>
  <c r="K434" i="1" s="1"/>
  <c r="E434" i="1"/>
  <c r="J434" i="1" s="1"/>
  <c r="I433" i="1"/>
  <c r="L433" i="1" s="1"/>
  <c r="G433" i="1"/>
  <c r="K433" i="1" s="1"/>
  <c r="E433" i="1"/>
  <c r="J433" i="1" s="1"/>
  <c r="I432" i="1"/>
  <c r="L432" i="1" s="1"/>
  <c r="G432" i="1"/>
  <c r="K432" i="1" s="1"/>
  <c r="E432" i="1"/>
  <c r="J432" i="1" s="1"/>
  <c r="I431" i="1"/>
  <c r="L431" i="1" s="1"/>
  <c r="G431" i="1"/>
  <c r="K431" i="1" s="1"/>
  <c r="E431" i="1"/>
  <c r="J431" i="1" s="1"/>
  <c r="I430" i="1"/>
  <c r="L430" i="1" s="1"/>
  <c r="G430" i="1"/>
  <c r="K430" i="1" s="1"/>
  <c r="E430" i="1"/>
  <c r="J430" i="1" s="1"/>
  <c r="I429" i="1"/>
  <c r="L429" i="1" s="1"/>
  <c r="G429" i="1"/>
  <c r="K429" i="1" s="1"/>
  <c r="E429" i="1"/>
  <c r="J429" i="1" s="1"/>
  <c r="I428" i="1"/>
  <c r="L428" i="1" s="1"/>
  <c r="G428" i="1"/>
  <c r="K428" i="1" s="1"/>
  <c r="E428" i="1"/>
  <c r="J428" i="1" s="1"/>
  <c r="I427" i="1"/>
  <c r="L427" i="1" s="1"/>
  <c r="G427" i="1"/>
  <c r="K427" i="1" s="1"/>
  <c r="E427" i="1"/>
  <c r="J427" i="1" s="1"/>
  <c r="I426" i="1"/>
  <c r="L426" i="1" s="1"/>
  <c r="G426" i="1"/>
  <c r="K426" i="1" s="1"/>
  <c r="E426" i="1"/>
  <c r="J426" i="1" s="1"/>
  <c r="I425" i="1"/>
  <c r="L425" i="1" s="1"/>
  <c r="G425" i="1"/>
  <c r="K425" i="1" s="1"/>
  <c r="E425" i="1"/>
  <c r="J425" i="1" s="1"/>
  <c r="I424" i="1"/>
  <c r="L424" i="1" s="1"/>
  <c r="G424" i="1"/>
  <c r="K424" i="1" s="1"/>
  <c r="E424" i="1"/>
  <c r="J424" i="1" s="1"/>
  <c r="I423" i="1"/>
  <c r="L423" i="1" s="1"/>
  <c r="G423" i="1"/>
  <c r="K423" i="1" s="1"/>
  <c r="E423" i="1"/>
  <c r="J423" i="1" s="1"/>
  <c r="I422" i="1"/>
  <c r="L422" i="1" s="1"/>
  <c r="G422" i="1"/>
  <c r="K422" i="1" s="1"/>
  <c r="E422" i="1"/>
  <c r="J422" i="1" s="1"/>
  <c r="I421" i="1"/>
  <c r="L421" i="1" s="1"/>
  <c r="G421" i="1"/>
  <c r="K421" i="1" s="1"/>
  <c r="E421" i="1"/>
  <c r="J421" i="1" s="1"/>
  <c r="I420" i="1"/>
  <c r="L420" i="1" s="1"/>
  <c r="G420" i="1"/>
  <c r="K420" i="1" s="1"/>
  <c r="E420" i="1"/>
  <c r="J420" i="1" s="1"/>
  <c r="I419" i="1"/>
  <c r="L419" i="1" s="1"/>
  <c r="G419" i="1"/>
  <c r="K419" i="1" s="1"/>
  <c r="E419" i="1"/>
  <c r="J419" i="1" s="1"/>
  <c r="I418" i="1"/>
  <c r="L418" i="1" s="1"/>
  <c r="G418" i="1"/>
  <c r="K418" i="1" s="1"/>
  <c r="E418" i="1"/>
  <c r="J418" i="1" s="1"/>
  <c r="I417" i="1"/>
  <c r="L417" i="1" s="1"/>
  <c r="G417" i="1"/>
  <c r="K417" i="1" s="1"/>
  <c r="E417" i="1"/>
  <c r="J417" i="1" s="1"/>
  <c r="I416" i="1"/>
  <c r="L416" i="1" s="1"/>
  <c r="G416" i="1"/>
  <c r="K416" i="1" s="1"/>
  <c r="E416" i="1"/>
  <c r="J416" i="1" s="1"/>
  <c r="I415" i="1"/>
  <c r="L415" i="1" s="1"/>
  <c r="G415" i="1"/>
  <c r="K415" i="1" s="1"/>
  <c r="E415" i="1"/>
  <c r="J415" i="1" s="1"/>
  <c r="I414" i="1"/>
  <c r="L414" i="1" s="1"/>
  <c r="G414" i="1"/>
  <c r="K414" i="1" s="1"/>
  <c r="E414" i="1"/>
  <c r="J414" i="1" s="1"/>
  <c r="I413" i="1"/>
  <c r="L413" i="1" s="1"/>
  <c r="G413" i="1"/>
  <c r="K413" i="1" s="1"/>
  <c r="E413" i="1"/>
  <c r="J413" i="1" s="1"/>
  <c r="I412" i="1"/>
  <c r="L412" i="1" s="1"/>
  <c r="G412" i="1"/>
  <c r="K412" i="1" s="1"/>
  <c r="E412" i="1"/>
  <c r="J412" i="1" s="1"/>
  <c r="I411" i="1"/>
  <c r="L411" i="1" s="1"/>
  <c r="G411" i="1"/>
  <c r="K411" i="1" s="1"/>
  <c r="E411" i="1"/>
  <c r="J411" i="1" s="1"/>
  <c r="I410" i="1"/>
  <c r="L410" i="1" s="1"/>
  <c r="G410" i="1"/>
  <c r="K410" i="1" s="1"/>
  <c r="E410" i="1"/>
  <c r="J410" i="1" s="1"/>
  <c r="I409" i="1"/>
  <c r="L409" i="1" s="1"/>
  <c r="G409" i="1"/>
  <c r="K409" i="1" s="1"/>
  <c r="E409" i="1"/>
  <c r="J409" i="1" s="1"/>
  <c r="I408" i="1"/>
  <c r="L408" i="1" s="1"/>
  <c r="G408" i="1"/>
  <c r="K408" i="1" s="1"/>
  <c r="E408" i="1"/>
  <c r="J408" i="1" s="1"/>
  <c r="I407" i="1"/>
  <c r="L407" i="1" s="1"/>
  <c r="G407" i="1"/>
  <c r="K407" i="1" s="1"/>
  <c r="E407" i="1"/>
  <c r="J407" i="1" s="1"/>
  <c r="I406" i="1"/>
  <c r="L406" i="1" s="1"/>
  <c r="G406" i="1"/>
  <c r="K406" i="1" s="1"/>
  <c r="E406" i="1"/>
  <c r="J406" i="1" s="1"/>
  <c r="I405" i="1"/>
  <c r="L405" i="1" s="1"/>
  <c r="G405" i="1"/>
  <c r="K405" i="1" s="1"/>
  <c r="E405" i="1"/>
  <c r="J405" i="1" s="1"/>
  <c r="I404" i="1"/>
  <c r="L404" i="1" s="1"/>
  <c r="G404" i="1"/>
  <c r="K404" i="1" s="1"/>
  <c r="E404" i="1"/>
  <c r="J404" i="1" s="1"/>
  <c r="I402" i="1"/>
  <c r="L402" i="1" s="1"/>
  <c r="G402" i="1"/>
  <c r="K402" i="1" s="1"/>
  <c r="E402" i="1"/>
  <c r="J402" i="1" s="1"/>
  <c r="I401" i="1"/>
  <c r="L401" i="1" s="1"/>
  <c r="G401" i="1"/>
  <c r="K401" i="1" s="1"/>
  <c r="E401" i="1"/>
  <c r="J401" i="1" s="1"/>
  <c r="I400" i="1"/>
  <c r="L400" i="1" s="1"/>
  <c r="G400" i="1"/>
  <c r="K400" i="1" s="1"/>
  <c r="E400" i="1"/>
  <c r="J400" i="1" s="1"/>
  <c r="I399" i="1"/>
  <c r="L399" i="1" s="1"/>
  <c r="G399" i="1"/>
  <c r="K399" i="1" s="1"/>
  <c r="E399" i="1"/>
  <c r="J399" i="1" s="1"/>
  <c r="I398" i="1"/>
  <c r="L398" i="1" s="1"/>
  <c r="G398" i="1"/>
  <c r="K398" i="1" s="1"/>
  <c r="E398" i="1"/>
  <c r="J398" i="1" s="1"/>
  <c r="I397" i="1"/>
  <c r="L397" i="1" s="1"/>
  <c r="G397" i="1"/>
  <c r="K397" i="1" s="1"/>
  <c r="E397" i="1"/>
  <c r="J397" i="1" s="1"/>
  <c r="I396" i="1"/>
  <c r="L396" i="1" s="1"/>
  <c r="G396" i="1"/>
  <c r="K396" i="1" s="1"/>
  <c r="E396" i="1"/>
  <c r="J396" i="1" s="1"/>
  <c r="I395" i="1"/>
  <c r="L395" i="1" s="1"/>
  <c r="G395" i="1"/>
  <c r="K395" i="1" s="1"/>
  <c r="E395" i="1"/>
  <c r="J395" i="1" s="1"/>
  <c r="I394" i="1"/>
  <c r="L394" i="1" s="1"/>
  <c r="G394" i="1"/>
  <c r="K394" i="1" s="1"/>
  <c r="E394" i="1"/>
  <c r="J394" i="1" s="1"/>
  <c r="I393" i="1"/>
  <c r="L393" i="1" s="1"/>
  <c r="G393" i="1"/>
  <c r="K393" i="1" s="1"/>
  <c r="E393" i="1"/>
  <c r="J393" i="1" s="1"/>
  <c r="I392" i="1"/>
  <c r="L392" i="1" s="1"/>
  <c r="G392" i="1"/>
  <c r="K392" i="1" s="1"/>
  <c r="E392" i="1"/>
  <c r="J392" i="1" s="1"/>
  <c r="I391" i="1"/>
  <c r="L391" i="1" s="1"/>
  <c r="G391" i="1"/>
  <c r="K391" i="1" s="1"/>
  <c r="E391" i="1"/>
  <c r="J391" i="1" s="1"/>
  <c r="I390" i="1"/>
  <c r="L390" i="1" s="1"/>
  <c r="G390" i="1"/>
  <c r="K390" i="1" s="1"/>
  <c r="E390" i="1"/>
  <c r="J390" i="1" s="1"/>
  <c r="I389" i="1"/>
  <c r="L389" i="1" s="1"/>
  <c r="G389" i="1"/>
  <c r="K389" i="1" s="1"/>
  <c r="E389" i="1"/>
  <c r="J389" i="1" s="1"/>
  <c r="I388" i="1"/>
  <c r="L388" i="1" s="1"/>
  <c r="G388" i="1"/>
  <c r="K388" i="1" s="1"/>
  <c r="E388" i="1"/>
  <c r="J388" i="1" s="1"/>
  <c r="I387" i="1"/>
  <c r="L387" i="1" s="1"/>
  <c r="G387" i="1"/>
  <c r="K387" i="1" s="1"/>
  <c r="E387" i="1"/>
  <c r="J387" i="1" s="1"/>
  <c r="I386" i="1"/>
  <c r="L386" i="1" s="1"/>
  <c r="G386" i="1"/>
  <c r="K386" i="1" s="1"/>
  <c r="E386" i="1"/>
  <c r="J386" i="1" s="1"/>
  <c r="I385" i="1"/>
  <c r="L385" i="1" s="1"/>
  <c r="G385" i="1"/>
  <c r="K385" i="1" s="1"/>
  <c r="E385" i="1"/>
  <c r="J385" i="1" s="1"/>
  <c r="I384" i="1"/>
  <c r="L384" i="1" s="1"/>
  <c r="G384" i="1"/>
  <c r="K384" i="1" s="1"/>
  <c r="E384" i="1"/>
  <c r="J384" i="1" s="1"/>
  <c r="I383" i="1"/>
  <c r="L383" i="1" s="1"/>
  <c r="G383" i="1"/>
  <c r="K383" i="1" s="1"/>
  <c r="E383" i="1"/>
  <c r="J383" i="1" s="1"/>
  <c r="I382" i="1"/>
  <c r="L382" i="1" s="1"/>
  <c r="G382" i="1"/>
  <c r="K382" i="1" s="1"/>
  <c r="E382" i="1"/>
  <c r="J382" i="1" s="1"/>
  <c r="I381" i="1"/>
  <c r="L381" i="1" s="1"/>
  <c r="G381" i="1"/>
  <c r="K381" i="1" s="1"/>
  <c r="E381" i="1"/>
  <c r="J381" i="1" s="1"/>
  <c r="I380" i="1"/>
  <c r="L380" i="1" s="1"/>
  <c r="G380" i="1"/>
  <c r="K380" i="1" s="1"/>
  <c r="E380" i="1"/>
  <c r="J380" i="1" s="1"/>
  <c r="I379" i="1"/>
  <c r="L379" i="1" s="1"/>
  <c r="G379" i="1"/>
  <c r="K379" i="1" s="1"/>
  <c r="E379" i="1"/>
  <c r="J379" i="1" s="1"/>
  <c r="I378" i="1"/>
  <c r="L378" i="1" s="1"/>
  <c r="G378" i="1"/>
  <c r="K378" i="1" s="1"/>
  <c r="E378" i="1"/>
  <c r="J378" i="1" s="1"/>
  <c r="I377" i="1"/>
  <c r="L377" i="1" s="1"/>
  <c r="G377" i="1"/>
  <c r="K377" i="1" s="1"/>
  <c r="E377" i="1"/>
  <c r="J377" i="1" s="1"/>
  <c r="I376" i="1"/>
  <c r="L376" i="1" s="1"/>
  <c r="G376" i="1"/>
  <c r="K376" i="1" s="1"/>
  <c r="E376" i="1"/>
  <c r="J376" i="1" s="1"/>
  <c r="I375" i="1"/>
  <c r="L375" i="1" s="1"/>
  <c r="G375" i="1"/>
  <c r="K375" i="1" s="1"/>
  <c r="E375" i="1"/>
  <c r="J375" i="1" s="1"/>
  <c r="I374" i="1"/>
  <c r="L374" i="1" s="1"/>
  <c r="G374" i="1"/>
  <c r="K374" i="1" s="1"/>
  <c r="E374" i="1"/>
  <c r="J374" i="1" s="1"/>
  <c r="I373" i="1"/>
  <c r="L373" i="1" s="1"/>
  <c r="G373" i="1"/>
  <c r="K373" i="1" s="1"/>
  <c r="E373" i="1"/>
  <c r="J373" i="1" s="1"/>
  <c r="I372" i="1"/>
  <c r="L372" i="1" s="1"/>
  <c r="G372" i="1"/>
  <c r="K372" i="1" s="1"/>
  <c r="E372" i="1"/>
  <c r="J372" i="1" s="1"/>
  <c r="I371" i="1"/>
  <c r="L371" i="1" s="1"/>
  <c r="G371" i="1"/>
  <c r="K371" i="1" s="1"/>
  <c r="E371" i="1"/>
  <c r="J371" i="1" s="1"/>
  <c r="I370" i="1"/>
  <c r="L370" i="1" s="1"/>
  <c r="G370" i="1"/>
  <c r="K370" i="1" s="1"/>
  <c r="E370" i="1"/>
  <c r="J370" i="1" s="1"/>
  <c r="I369" i="1"/>
  <c r="L369" i="1" s="1"/>
  <c r="G369" i="1"/>
  <c r="K369" i="1" s="1"/>
  <c r="E369" i="1"/>
  <c r="J369" i="1" s="1"/>
  <c r="I368" i="1"/>
  <c r="L368" i="1" s="1"/>
  <c r="G368" i="1"/>
  <c r="K368" i="1" s="1"/>
  <c r="E368" i="1"/>
  <c r="J368" i="1" s="1"/>
  <c r="I367" i="1"/>
  <c r="L367" i="1" s="1"/>
  <c r="G367" i="1"/>
  <c r="K367" i="1" s="1"/>
  <c r="E367" i="1"/>
  <c r="J367" i="1" s="1"/>
  <c r="I365" i="1"/>
  <c r="L365" i="1" s="1"/>
  <c r="G365" i="1"/>
  <c r="K365" i="1" s="1"/>
  <c r="E365" i="1"/>
  <c r="J365" i="1" s="1"/>
  <c r="I364" i="1"/>
  <c r="L364" i="1" s="1"/>
  <c r="G364" i="1"/>
  <c r="K364" i="1" s="1"/>
  <c r="E364" i="1"/>
  <c r="J364" i="1" s="1"/>
  <c r="I363" i="1"/>
  <c r="L363" i="1" s="1"/>
  <c r="G363" i="1"/>
  <c r="K363" i="1" s="1"/>
  <c r="E363" i="1"/>
  <c r="J363" i="1" s="1"/>
  <c r="I362" i="1"/>
  <c r="L362" i="1" s="1"/>
  <c r="G362" i="1"/>
  <c r="K362" i="1" s="1"/>
  <c r="E362" i="1"/>
  <c r="J362" i="1" s="1"/>
  <c r="I361" i="1"/>
  <c r="L361" i="1" s="1"/>
  <c r="G361" i="1"/>
  <c r="K361" i="1" s="1"/>
  <c r="E361" i="1"/>
  <c r="J361" i="1" s="1"/>
  <c r="I360" i="1"/>
  <c r="L360" i="1" s="1"/>
  <c r="G360" i="1"/>
  <c r="K360" i="1" s="1"/>
  <c r="E360" i="1"/>
  <c r="J360" i="1" s="1"/>
  <c r="I359" i="1"/>
  <c r="L359" i="1" s="1"/>
  <c r="G359" i="1"/>
  <c r="K359" i="1" s="1"/>
  <c r="E359" i="1"/>
  <c r="J359" i="1" s="1"/>
  <c r="I358" i="1"/>
  <c r="L358" i="1" s="1"/>
  <c r="G358" i="1"/>
  <c r="K358" i="1" s="1"/>
  <c r="E358" i="1"/>
  <c r="J358" i="1" s="1"/>
  <c r="I357" i="1"/>
  <c r="L357" i="1" s="1"/>
  <c r="G357" i="1"/>
  <c r="K357" i="1" s="1"/>
  <c r="E357" i="1"/>
  <c r="J357" i="1" s="1"/>
  <c r="I356" i="1"/>
  <c r="L356" i="1" s="1"/>
  <c r="G356" i="1"/>
  <c r="K356" i="1" s="1"/>
  <c r="E356" i="1"/>
  <c r="J356" i="1" s="1"/>
  <c r="I355" i="1"/>
  <c r="L355" i="1" s="1"/>
  <c r="G355" i="1"/>
  <c r="K355" i="1" s="1"/>
  <c r="E355" i="1"/>
  <c r="J355" i="1" s="1"/>
  <c r="I354" i="1"/>
  <c r="L354" i="1" s="1"/>
  <c r="G354" i="1"/>
  <c r="K354" i="1" s="1"/>
  <c r="E354" i="1"/>
  <c r="J354" i="1" s="1"/>
  <c r="I353" i="1"/>
  <c r="L353" i="1" s="1"/>
  <c r="G353" i="1"/>
  <c r="K353" i="1" s="1"/>
  <c r="E353" i="1"/>
  <c r="J353" i="1" s="1"/>
  <c r="I352" i="1"/>
  <c r="L352" i="1" s="1"/>
  <c r="G352" i="1"/>
  <c r="K352" i="1" s="1"/>
  <c r="E352" i="1"/>
  <c r="J352" i="1" s="1"/>
  <c r="I351" i="1"/>
  <c r="L351" i="1" s="1"/>
  <c r="G351" i="1"/>
  <c r="K351" i="1" s="1"/>
  <c r="E351" i="1"/>
  <c r="J351" i="1" s="1"/>
  <c r="I350" i="1"/>
  <c r="L350" i="1" s="1"/>
  <c r="G350" i="1"/>
  <c r="K350" i="1" s="1"/>
  <c r="E350" i="1"/>
  <c r="J350" i="1" s="1"/>
  <c r="I349" i="1"/>
  <c r="L349" i="1" s="1"/>
  <c r="G349" i="1"/>
  <c r="K349" i="1" s="1"/>
  <c r="E349" i="1"/>
  <c r="J349" i="1" s="1"/>
  <c r="I348" i="1"/>
  <c r="L348" i="1" s="1"/>
  <c r="G348" i="1"/>
  <c r="K348" i="1" s="1"/>
  <c r="E348" i="1"/>
  <c r="J348" i="1" s="1"/>
  <c r="I347" i="1"/>
  <c r="L347" i="1" s="1"/>
  <c r="G347" i="1"/>
  <c r="K347" i="1" s="1"/>
  <c r="E347" i="1"/>
  <c r="J347" i="1" s="1"/>
  <c r="I346" i="1"/>
  <c r="L346" i="1" s="1"/>
  <c r="G346" i="1"/>
  <c r="K346" i="1" s="1"/>
  <c r="E346" i="1"/>
  <c r="J346" i="1" s="1"/>
  <c r="I345" i="1"/>
  <c r="L345" i="1" s="1"/>
  <c r="G345" i="1"/>
  <c r="K345" i="1" s="1"/>
  <c r="E345" i="1"/>
  <c r="J345" i="1" s="1"/>
  <c r="I344" i="1"/>
  <c r="L344" i="1" s="1"/>
  <c r="G344" i="1"/>
  <c r="K344" i="1" s="1"/>
  <c r="E344" i="1"/>
  <c r="J344" i="1" s="1"/>
  <c r="I343" i="1"/>
  <c r="L343" i="1" s="1"/>
  <c r="G343" i="1"/>
  <c r="K343" i="1" s="1"/>
  <c r="E343" i="1"/>
  <c r="J343" i="1" s="1"/>
  <c r="I342" i="1"/>
  <c r="L342" i="1" s="1"/>
  <c r="G342" i="1"/>
  <c r="K342" i="1" s="1"/>
  <c r="E342" i="1"/>
  <c r="J342" i="1" s="1"/>
  <c r="I341" i="1"/>
  <c r="L341" i="1" s="1"/>
  <c r="G341" i="1"/>
  <c r="K341" i="1" s="1"/>
  <c r="E341" i="1"/>
  <c r="J341" i="1" s="1"/>
  <c r="I340" i="1"/>
  <c r="L340" i="1" s="1"/>
  <c r="G340" i="1"/>
  <c r="K340" i="1" s="1"/>
  <c r="E340" i="1"/>
  <c r="J340" i="1" s="1"/>
  <c r="I339" i="1"/>
  <c r="L339" i="1" s="1"/>
  <c r="G339" i="1"/>
  <c r="K339" i="1" s="1"/>
  <c r="E339" i="1"/>
  <c r="J339" i="1" s="1"/>
  <c r="I338" i="1"/>
  <c r="L338" i="1" s="1"/>
  <c r="G338" i="1"/>
  <c r="K338" i="1" s="1"/>
  <c r="E338" i="1"/>
  <c r="J338" i="1" s="1"/>
  <c r="I337" i="1"/>
  <c r="L337" i="1" s="1"/>
  <c r="G337" i="1"/>
  <c r="K337" i="1" s="1"/>
  <c r="E337" i="1"/>
  <c r="J337" i="1" s="1"/>
  <c r="I336" i="1"/>
  <c r="L336" i="1" s="1"/>
  <c r="G336" i="1"/>
  <c r="K336" i="1" s="1"/>
  <c r="E336" i="1"/>
  <c r="J336" i="1" s="1"/>
  <c r="I335" i="1"/>
  <c r="L335" i="1" s="1"/>
  <c r="G335" i="1"/>
  <c r="K335" i="1" s="1"/>
  <c r="E335" i="1"/>
  <c r="J335" i="1" s="1"/>
  <c r="I334" i="1"/>
  <c r="L334" i="1" s="1"/>
  <c r="G334" i="1"/>
  <c r="K334" i="1" s="1"/>
  <c r="E334" i="1"/>
  <c r="J334" i="1" s="1"/>
  <c r="I333" i="1"/>
  <c r="L333" i="1" s="1"/>
  <c r="G333" i="1"/>
  <c r="K333" i="1" s="1"/>
  <c r="E333" i="1"/>
  <c r="J333" i="1" s="1"/>
  <c r="I332" i="1"/>
  <c r="L332" i="1" s="1"/>
  <c r="G332" i="1"/>
  <c r="K332" i="1" s="1"/>
  <c r="E332" i="1"/>
  <c r="J332" i="1" s="1"/>
  <c r="I331" i="1"/>
  <c r="L331" i="1" s="1"/>
  <c r="G331" i="1"/>
  <c r="K331" i="1" s="1"/>
  <c r="E331" i="1"/>
  <c r="J331" i="1" s="1"/>
  <c r="I330" i="1"/>
  <c r="L330" i="1" s="1"/>
  <c r="G330" i="1"/>
  <c r="K330" i="1" s="1"/>
  <c r="E330" i="1"/>
  <c r="J330" i="1" s="1"/>
  <c r="I329" i="1"/>
  <c r="L329" i="1" s="1"/>
  <c r="G329" i="1"/>
  <c r="K329" i="1" s="1"/>
  <c r="E329" i="1"/>
  <c r="J329" i="1" s="1"/>
  <c r="I326" i="1"/>
  <c r="L326" i="1" s="1"/>
  <c r="G326" i="1"/>
  <c r="K326" i="1" s="1"/>
  <c r="E326" i="1"/>
  <c r="J326" i="1" s="1"/>
  <c r="I325" i="1"/>
  <c r="L325" i="1" s="1"/>
  <c r="G325" i="1"/>
  <c r="K325" i="1" s="1"/>
  <c r="E325" i="1"/>
  <c r="J325" i="1" s="1"/>
  <c r="I324" i="1"/>
  <c r="L324" i="1" s="1"/>
  <c r="G324" i="1"/>
  <c r="K324" i="1" s="1"/>
  <c r="E324" i="1"/>
  <c r="J324" i="1" s="1"/>
  <c r="I323" i="1"/>
  <c r="L323" i="1" s="1"/>
  <c r="G323" i="1"/>
  <c r="K323" i="1" s="1"/>
  <c r="E323" i="1"/>
  <c r="J323" i="1" s="1"/>
  <c r="I322" i="1"/>
  <c r="L322" i="1" s="1"/>
  <c r="G322" i="1"/>
  <c r="K322" i="1" s="1"/>
  <c r="E322" i="1"/>
  <c r="J322" i="1" s="1"/>
  <c r="I321" i="1"/>
  <c r="L321" i="1" s="1"/>
  <c r="G321" i="1"/>
  <c r="K321" i="1" s="1"/>
  <c r="E321" i="1"/>
  <c r="J321" i="1" s="1"/>
  <c r="I320" i="1"/>
  <c r="L320" i="1" s="1"/>
  <c r="G320" i="1"/>
  <c r="K320" i="1" s="1"/>
  <c r="E320" i="1"/>
  <c r="J320" i="1" s="1"/>
  <c r="I319" i="1"/>
  <c r="L319" i="1" s="1"/>
  <c r="G319" i="1"/>
  <c r="K319" i="1" s="1"/>
  <c r="E319" i="1"/>
  <c r="J319" i="1" s="1"/>
  <c r="I318" i="1"/>
  <c r="L318" i="1" s="1"/>
  <c r="G318" i="1"/>
  <c r="K318" i="1" s="1"/>
  <c r="E318" i="1"/>
  <c r="J318" i="1" s="1"/>
  <c r="I317" i="1"/>
  <c r="L317" i="1" s="1"/>
  <c r="G317" i="1"/>
  <c r="K317" i="1" s="1"/>
  <c r="E317" i="1"/>
  <c r="J317" i="1" s="1"/>
  <c r="I316" i="1"/>
  <c r="L316" i="1" s="1"/>
  <c r="G316" i="1"/>
  <c r="K316" i="1" s="1"/>
  <c r="E316" i="1"/>
  <c r="J316" i="1" s="1"/>
  <c r="I315" i="1"/>
  <c r="L315" i="1" s="1"/>
  <c r="G315" i="1"/>
  <c r="K315" i="1" s="1"/>
  <c r="E315" i="1"/>
  <c r="J315" i="1" s="1"/>
  <c r="I314" i="1"/>
  <c r="L314" i="1" s="1"/>
  <c r="G314" i="1"/>
  <c r="K314" i="1" s="1"/>
  <c r="E314" i="1"/>
  <c r="J314" i="1" s="1"/>
  <c r="I313" i="1"/>
  <c r="L313" i="1" s="1"/>
  <c r="G313" i="1"/>
  <c r="K313" i="1" s="1"/>
  <c r="E313" i="1"/>
  <c r="J313" i="1" s="1"/>
  <c r="I312" i="1"/>
  <c r="L312" i="1" s="1"/>
  <c r="G312" i="1"/>
  <c r="K312" i="1" s="1"/>
  <c r="E312" i="1"/>
  <c r="J312" i="1" s="1"/>
  <c r="I311" i="1"/>
  <c r="L311" i="1" s="1"/>
  <c r="G311" i="1"/>
  <c r="K311" i="1" s="1"/>
  <c r="E311" i="1"/>
  <c r="J311" i="1" s="1"/>
  <c r="I310" i="1"/>
  <c r="L310" i="1" s="1"/>
  <c r="G310" i="1"/>
  <c r="K310" i="1" s="1"/>
  <c r="E310" i="1"/>
  <c r="J310" i="1" s="1"/>
  <c r="I309" i="1"/>
  <c r="L309" i="1" s="1"/>
  <c r="G309" i="1"/>
  <c r="K309" i="1" s="1"/>
  <c r="E309" i="1"/>
  <c r="J309" i="1" s="1"/>
  <c r="I308" i="1"/>
  <c r="L308" i="1" s="1"/>
  <c r="G308" i="1"/>
  <c r="K308" i="1" s="1"/>
  <c r="E308" i="1"/>
  <c r="J308" i="1" s="1"/>
  <c r="I307" i="1"/>
  <c r="L307" i="1" s="1"/>
  <c r="G307" i="1"/>
  <c r="K307" i="1" s="1"/>
  <c r="E307" i="1"/>
  <c r="J307" i="1" s="1"/>
  <c r="I306" i="1"/>
  <c r="L306" i="1" s="1"/>
  <c r="G306" i="1"/>
  <c r="K306" i="1" s="1"/>
  <c r="E306" i="1"/>
  <c r="J306" i="1" s="1"/>
  <c r="I305" i="1"/>
  <c r="L305" i="1" s="1"/>
  <c r="G305" i="1"/>
  <c r="K305" i="1" s="1"/>
  <c r="E305" i="1"/>
  <c r="J305" i="1" s="1"/>
  <c r="I304" i="1"/>
  <c r="L304" i="1" s="1"/>
  <c r="G304" i="1"/>
  <c r="K304" i="1" s="1"/>
  <c r="E304" i="1"/>
  <c r="J304" i="1" s="1"/>
  <c r="I303" i="1"/>
  <c r="L303" i="1" s="1"/>
  <c r="G303" i="1"/>
  <c r="K303" i="1" s="1"/>
  <c r="E303" i="1"/>
  <c r="J303" i="1" s="1"/>
  <c r="I302" i="1"/>
  <c r="L302" i="1" s="1"/>
  <c r="G302" i="1"/>
  <c r="K302" i="1" s="1"/>
  <c r="E302" i="1"/>
  <c r="J302" i="1" s="1"/>
  <c r="I301" i="1"/>
  <c r="L301" i="1" s="1"/>
  <c r="G301" i="1"/>
  <c r="K301" i="1" s="1"/>
  <c r="E301" i="1"/>
  <c r="J301" i="1" s="1"/>
  <c r="I300" i="1"/>
  <c r="L300" i="1" s="1"/>
  <c r="G300" i="1"/>
  <c r="K300" i="1" s="1"/>
  <c r="E300" i="1"/>
  <c r="J300" i="1" s="1"/>
  <c r="I299" i="1"/>
  <c r="L299" i="1" s="1"/>
  <c r="G299" i="1"/>
  <c r="K299" i="1" s="1"/>
  <c r="E299" i="1"/>
  <c r="J299" i="1" s="1"/>
  <c r="I298" i="1"/>
  <c r="L298" i="1" s="1"/>
  <c r="G298" i="1"/>
  <c r="K298" i="1" s="1"/>
  <c r="E298" i="1"/>
  <c r="J298" i="1" s="1"/>
  <c r="I297" i="1"/>
  <c r="L297" i="1" s="1"/>
  <c r="G297" i="1"/>
  <c r="K297" i="1" s="1"/>
  <c r="E297" i="1"/>
  <c r="J297" i="1" s="1"/>
  <c r="I296" i="1"/>
  <c r="L296" i="1" s="1"/>
  <c r="G296" i="1"/>
  <c r="K296" i="1" s="1"/>
  <c r="E296" i="1"/>
  <c r="J296" i="1" s="1"/>
  <c r="I295" i="1"/>
  <c r="L295" i="1" s="1"/>
  <c r="G295" i="1"/>
  <c r="K295" i="1" s="1"/>
  <c r="E295" i="1"/>
  <c r="J295" i="1" s="1"/>
  <c r="I294" i="1"/>
  <c r="L294" i="1" s="1"/>
  <c r="G294" i="1"/>
  <c r="K294" i="1" s="1"/>
  <c r="E294" i="1"/>
  <c r="J294" i="1" s="1"/>
  <c r="I293" i="1"/>
  <c r="L293" i="1" s="1"/>
  <c r="G293" i="1"/>
  <c r="K293" i="1" s="1"/>
  <c r="E293" i="1"/>
  <c r="J293" i="1" s="1"/>
  <c r="I292" i="1"/>
  <c r="L292" i="1" s="1"/>
  <c r="G292" i="1"/>
  <c r="K292" i="1" s="1"/>
  <c r="E292" i="1"/>
  <c r="J292" i="1" s="1"/>
  <c r="I291" i="1"/>
  <c r="L291" i="1" s="1"/>
  <c r="G291" i="1"/>
  <c r="K291" i="1" s="1"/>
  <c r="E291" i="1"/>
  <c r="J291" i="1" s="1"/>
  <c r="I290" i="1"/>
  <c r="L290" i="1" s="1"/>
  <c r="G290" i="1"/>
  <c r="K290" i="1" s="1"/>
  <c r="E290" i="1"/>
  <c r="J290" i="1" s="1"/>
  <c r="I289" i="1"/>
  <c r="L289" i="1" s="1"/>
  <c r="G289" i="1"/>
  <c r="K289" i="1" s="1"/>
  <c r="E289" i="1"/>
  <c r="J289" i="1" s="1"/>
  <c r="I287" i="1"/>
  <c r="L287" i="1" s="1"/>
  <c r="G287" i="1"/>
  <c r="K287" i="1" s="1"/>
  <c r="E287" i="1"/>
  <c r="J287" i="1" s="1"/>
  <c r="I286" i="1"/>
  <c r="L286" i="1" s="1"/>
  <c r="G286" i="1"/>
  <c r="K286" i="1" s="1"/>
  <c r="E286" i="1"/>
  <c r="J286" i="1" s="1"/>
  <c r="I285" i="1"/>
  <c r="L285" i="1" s="1"/>
  <c r="G285" i="1"/>
  <c r="K285" i="1" s="1"/>
  <c r="E285" i="1"/>
  <c r="J285" i="1" s="1"/>
  <c r="I284" i="1"/>
  <c r="L284" i="1" s="1"/>
  <c r="G284" i="1"/>
  <c r="K284" i="1" s="1"/>
  <c r="E284" i="1"/>
  <c r="J284" i="1" s="1"/>
  <c r="I283" i="1"/>
  <c r="L283" i="1" s="1"/>
  <c r="G283" i="1"/>
  <c r="K283" i="1" s="1"/>
  <c r="E283" i="1"/>
  <c r="J283" i="1" s="1"/>
  <c r="I282" i="1"/>
  <c r="L282" i="1" s="1"/>
  <c r="G282" i="1"/>
  <c r="K282" i="1" s="1"/>
  <c r="E282" i="1"/>
  <c r="J282" i="1" s="1"/>
  <c r="I281" i="1"/>
  <c r="L281" i="1" s="1"/>
  <c r="G281" i="1"/>
  <c r="K281" i="1" s="1"/>
  <c r="E281" i="1"/>
  <c r="J281" i="1" s="1"/>
  <c r="I280" i="1"/>
  <c r="L280" i="1" s="1"/>
  <c r="G280" i="1"/>
  <c r="K280" i="1" s="1"/>
  <c r="E280" i="1"/>
  <c r="J280" i="1" s="1"/>
  <c r="I279" i="1"/>
  <c r="L279" i="1" s="1"/>
  <c r="G279" i="1"/>
  <c r="K279" i="1" s="1"/>
  <c r="E279" i="1"/>
  <c r="J279" i="1" s="1"/>
  <c r="I278" i="1"/>
  <c r="L278" i="1" s="1"/>
  <c r="G278" i="1"/>
  <c r="K278" i="1" s="1"/>
  <c r="E278" i="1"/>
  <c r="J278" i="1" s="1"/>
  <c r="I277" i="1"/>
  <c r="L277" i="1" s="1"/>
  <c r="G277" i="1"/>
  <c r="K277" i="1" s="1"/>
  <c r="E277" i="1"/>
  <c r="J277" i="1" s="1"/>
  <c r="I276" i="1"/>
  <c r="L276" i="1" s="1"/>
  <c r="G276" i="1"/>
  <c r="K276" i="1" s="1"/>
  <c r="E276" i="1"/>
  <c r="J276" i="1" s="1"/>
  <c r="I275" i="1"/>
  <c r="L275" i="1" s="1"/>
  <c r="G275" i="1"/>
  <c r="K275" i="1" s="1"/>
  <c r="E275" i="1"/>
  <c r="J275" i="1" s="1"/>
  <c r="I274" i="1"/>
  <c r="L274" i="1" s="1"/>
  <c r="G274" i="1"/>
  <c r="K274" i="1" s="1"/>
  <c r="E274" i="1"/>
  <c r="J274" i="1" s="1"/>
  <c r="I273" i="1"/>
  <c r="L273" i="1" s="1"/>
  <c r="G273" i="1"/>
  <c r="K273" i="1" s="1"/>
  <c r="E273" i="1"/>
  <c r="J273" i="1" s="1"/>
  <c r="I272" i="1"/>
  <c r="L272" i="1" s="1"/>
  <c r="G272" i="1"/>
  <c r="K272" i="1" s="1"/>
  <c r="E272" i="1"/>
  <c r="J272" i="1" s="1"/>
  <c r="I271" i="1"/>
  <c r="L271" i="1" s="1"/>
  <c r="G271" i="1"/>
  <c r="K271" i="1" s="1"/>
  <c r="E271" i="1"/>
  <c r="J271" i="1" s="1"/>
  <c r="I270" i="1"/>
  <c r="L270" i="1" s="1"/>
  <c r="G270" i="1"/>
  <c r="K270" i="1" s="1"/>
  <c r="E270" i="1"/>
  <c r="J270" i="1" s="1"/>
  <c r="I269" i="1"/>
  <c r="L269" i="1" s="1"/>
  <c r="G269" i="1"/>
  <c r="K269" i="1" s="1"/>
  <c r="E269" i="1"/>
  <c r="J269" i="1" s="1"/>
  <c r="I268" i="1"/>
  <c r="L268" i="1" s="1"/>
  <c r="G268" i="1"/>
  <c r="K268" i="1" s="1"/>
  <c r="E268" i="1"/>
  <c r="J268" i="1" s="1"/>
  <c r="I267" i="1"/>
  <c r="L267" i="1" s="1"/>
  <c r="G267" i="1"/>
  <c r="K267" i="1" s="1"/>
  <c r="E267" i="1"/>
  <c r="J267" i="1" s="1"/>
  <c r="I266" i="1"/>
  <c r="L266" i="1" s="1"/>
  <c r="G266" i="1"/>
  <c r="K266" i="1" s="1"/>
  <c r="E266" i="1"/>
  <c r="J266" i="1" s="1"/>
  <c r="I265" i="1"/>
  <c r="L265" i="1" s="1"/>
  <c r="G265" i="1"/>
  <c r="K265" i="1" s="1"/>
  <c r="E265" i="1"/>
  <c r="J265" i="1" s="1"/>
  <c r="I263" i="1"/>
  <c r="L263" i="1" s="1"/>
  <c r="G263" i="1"/>
  <c r="K263" i="1" s="1"/>
  <c r="E263" i="1"/>
  <c r="J263" i="1" s="1"/>
  <c r="I262" i="1"/>
  <c r="L262" i="1" s="1"/>
  <c r="G262" i="1"/>
  <c r="K262" i="1" s="1"/>
  <c r="E262" i="1"/>
  <c r="J262" i="1" s="1"/>
  <c r="I261" i="1"/>
  <c r="L261" i="1" s="1"/>
  <c r="G261" i="1"/>
  <c r="K261" i="1" s="1"/>
  <c r="E261" i="1"/>
  <c r="J261" i="1" s="1"/>
  <c r="I260" i="1"/>
  <c r="L260" i="1" s="1"/>
  <c r="G260" i="1"/>
  <c r="K260" i="1" s="1"/>
  <c r="E260" i="1"/>
  <c r="J260" i="1" s="1"/>
  <c r="I259" i="1"/>
  <c r="L259" i="1" s="1"/>
  <c r="G259" i="1"/>
  <c r="K259" i="1" s="1"/>
  <c r="E259" i="1"/>
  <c r="J259" i="1" s="1"/>
  <c r="I258" i="1"/>
  <c r="L258" i="1" s="1"/>
  <c r="G258" i="1"/>
  <c r="K258" i="1" s="1"/>
  <c r="E258" i="1"/>
  <c r="J258" i="1" s="1"/>
  <c r="I257" i="1"/>
  <c r="L257" i="1" s="1"/>
  <c r="G257" i="1"/>
  <c r="K257" i="1" s="1"/>
  <c r="E257" i="1"/>
  <c r="J257" i="1" s="1"/>
  <c r="I256" i="1"/>
  <c r="L256" i="1" s="1"/>
  <c r="G256" i="1"/>
  <c r="K256" i="1" s="1"/>
  <c r="E256" i="1"/>
  <c r="J256" i="1" s="1"/>
  <c r="I255" i="1"/>
  <c r="L255" i="1" s="1"/>
  <c r="G255" i="1"/>
  <c r="K255" i="1" s="1"/>
  <c r="E255" i="1"/>
  <c r="J255" i="1" s="1"/>
  <c r="I254" i="1"/>
  <c r="L254" i="1" s="1"/>
  <c r="G254" i="1"/>
  <c r="K254" i="1" s="1"/>
  <c r="E254" i="1"/>
  <c r="J254" i="1" s="1"/>
  <c r="I253" i="1"/>
  <c r="L253" i="1" s="1"/>
  <c r="G253" i="1"/>
  <c r="K253" i="1" s="1"/>
  <c r="E253" i="1"/>
  <c r="J253" i="1" s="1"/>
  <c r="I252" i="1"/>
  <c r="L252" i="1" s="1"/>
  <c r="G252" i="1"/>
  <c r="K252" i="1" s="1"/>
  <c r="E252" i="1"/>
  <c r="J252" i="1" s="1"/>
  <c r="I251" i="1"/>
  <c r="L251" i="1" s="1"/>
  <c r="G251" i="1"/>
  <c r="K251" i="1" s="1"/>
  <c r="E251" i="1"/>
  <c r="J251" i="1" s="1"/>
  <c r="I250" i="1"/>
  <c r="L250" i="1" s="1"/>
  <c r="G250" i="1"/>
  <c r="K250" i="1" s="1"/>
  <c r="E250" i="1"/>
  <c r="J250" i="1" s="1"/>
  <c r="I249" i="1"/>
  <c r="L249" i="1" s="1"/>
  <c r="G249" i="1"/>
  <c r="K249" i="1" s="1"/>
  <c r="E249" i="1"/>
  <c r="J249" i="1" s="1"/>
  <c r="I248" i="1"/>
  <c r="L248" i="1" s="1"/>
  <c r="G248" i="1"/>
  <c r="K248" i="1" s="1"/>
  <c r="E248" i="1"/>
  <c r="J248" i="1" s="1"/>
  <c r="I247" i="1"/>
  <c r="L247" i="1" s="1"/>
  <c r="G247" i="1"/>
  <c r="K247" i="1" s="1"/>
  <c r="E247" i="1"/>
  <c r="J247" i="1" s="1"/>
  <c r="I246" i="1"/>
  <c r="L246" i="1" s="1"/>
  <c r="G246" i="1"/>
  <c r="K246" i="1" s="1"/>
  <c r="E246" i="1"/>
  <c r="J246" i="1" s="1"/>
  <c r="I245" i="1"/>
  <c r="L245" i="1" s="1"/>
  <c r="G245" i="1"/>
  <c r="K245" i="1" s="1"/>
  <c r="E245" i="1"/>
  <c r="J245" i="1" s="1"/>
  <c r="I244" i="1"/>
  <c r="L244" i="1" s="1"/>
  <c r="G244" i="1"/>
  <c r="K244" i="1" s="1"/>
  <c r="E244" i="1"/>
  <c r="J244" i="1" s="1"/>
  <c r="I243" i="1"/>
  <c r="L243" i="1" s="1"/>
  <c r="G243" i="1"/>
  <c r="K243" i="1" s="1"/>
  <c r="E243" i="1"/>
  <c r="J243" i="1" s="1"/>
  <c r="I242" i="1"/>
  <c r="L242" i="1" s="1"/>
  <c r="G242" i="1"/>
  <c r="K242" i="1" s="1"/>
  <c r="E242" i="1"/>
  <c r="J242" i="1" s="1"/>
  <c r="I241" i="1"/>
  <c r="L241" i="1" s="1"/>
  <c r="G241" i="1"/>
  <c r="K241" i="1" s="1"/>
  <c r="E241" i="1"/>
  <c r="J241" i="1" s="1"/>
  <c r="I240" i="1"/>
  <c r="L240" i="1" s="1"/>
  <c r="G240" i="1"/>
  <c r="K240" i="1" s="1"/>
  <c r="E240" i="1"/>
  <c r="J240" i="1" s="1"/>
  <c r="I239" i="1"/>
  <c r="L239" i="1" s="1"/>
  <c r="G239" i="1"/>
  <c r="K239" i="1" s="1"/>
  <c r="E239" i="1"/>
  <c r="J239" i="1" s="1"/>
  <c r="I237" i="1"/>
  <c r="L237" i="1" s="1"/>
  <c r="G237" i="1"/>
  <c r="K237" i="1" s="1"/>
  <c r="E237" i="1"/>
  <c r="J237" i="1" s="1"/>
  <c r="I236" i="1"/>
  <c r="L236" i="1" s="1"/>
  <c r="G236" i="1"/>
  <c r="K236" i="1" s="1"/>
  <c r="E236" i="1"/>
  <c r="J236" i="1" s="1"/>
  <c r="I235" i="1"/>
  <c r="L235" i="1" s="1"/>
  <c r="G235" i="1"/>
  <c r="K235" i="1" s="1"/>
  <c r="E235" i="1"/>
  <c r="J235" i="1" s="1"/>
  <c r="I234" i="1"/>
  <c r="L234" i="1" s="1"/>
  <c r="G234" i="1"/>
  <c r="K234" i="1" s="1"/>
  <c r="E234" i="1"/>
  <c r="J234" i="1" s="1"/>
  <c r="I233" i="1"/>
  <c r="L233" i="1" s="1"/>
  <c r="G233" i="1"/>
  <c r="K233" i="1" s="1"/>
  <c r="E233" i="1"/>
  <c r="J233" i="1" s="1"/>
  <c r="I232" i="1"/>
  <c r="L232" i="1" s="1"/>
  <c r="G232" i="1"/>
  <c r="K232" i="1" s="1"/>
  <c r="E232" i="1"/>
  <c r="J232" i="1" s="1"/>
  <c r="I231" i="1"/>
  <c r="L231" i="1" s="1"/>
  <c r="G231" i="1"/>
  <c r="K231" i="1" s="1"/>
  <c r="E231" i="1"/>
  <c r="J231" i="1" s="1"/>
  <c r="I230" i="1"/>
  <c r="L230" i="1" s="1"/>
  <c r="G230" i="1"/>
  <c r="K230" i="1" s="1"/>
  <c r="E230" i="1"/>
  <c r="J230" i="1" s="1"/>
  <c r="I229" i="1"/>
  <c r="L229" i="1" s="1"/>
  <c r="G229" i="1"/>
  <c r="K229" i="1" s="1"/>
  <c r="E229" i="1"/>
  <c r="J229" i="1" s="1"/>
  <c r="I228" i="1"/>
  <c r="L228" i="1" s="1"/>
  <c r="G228" i="1"/>
  <c r="K228" i="1" s="1"/>
  <c r="E228" i="1"/>
  <c r="J228" i="1" s="1"/>
  <c r="I227" i="1"/>
  <c r="L227" i="1" s="1"/>
  <c r="G227" i="1"/>
  <c r="K227" i="1" s="1"/>
  <c r="E227" i="1"/>
  <c r="J227" i="1" s="1"/>
  <c r="I226" i="1"/>
  <c r="L226" i="1" s="1"/>
  <c r="G226" i="1"/>
  <c r="K226" i="1" s="1"/>
  <c r="E226" i="1"/>
  <c r="J226" i="1" s="1"/>
  <c r="I225" i="1"/>
  <c r="L225" i="1" s="1"/>
  <c r="G225" i="1"/>
  <c r="K225" i="1" s="1"/>
  <c r="E225" i="1"/>
  <c r="J225" i="1" s="1"/>
  <c r="I224" i="1"/>
  <c r="L224" i="1" s="1"/>
  <c r="G224" i="1"/>
  <c r="K224" i="1" s="1"/>
  <c r="E224" i="1"/>
  <c r="J224" i="1" s="1"/>
  <c r="I223" i="1"/>
  <c r="L223" i="1" s="1"/>
  <c r="G223" i="1"/>
  <c r="K223" i="1" s="1"/>
  <c r="E223" i="1"/>
  <c r="J223" i="1" s="1"/>
  <c r="I222" i="1"/>
  <c r="L222" i="1" s="1"/>
  <c r="G222" i="1"/>
  <c r="K222" i="1" s="1"/>
  <c r="E222" i="1"/>
  <c r="J222" i="1" s="1"/>
  <c r="I221" i="1"/>
  <c r="L221" i="1" s="1"/>
  <c r="G221" i="1"/>
  <c r="K221" i="1" s="1"/>
  <c r="E221" i="1"/>
  <c r="J221" i="1" s="1"/>
  <c r="I220" i="1"/>
  <c r="L220" i="1" s="1"/>
  <c r="G220" i="1"/>
  <c r="K220" i="1" s="1"/>
  <c r="E220" i="1"/>
  <c r="J220" i="1" s="1"/>
  <c r="I219" i="1"/>
  <c r="L219" i="1" s="1"/>
  <c r="G219" i="1"/>
  <c r="K219" i="1" s="1"/>
  <c r="E219" i="1"/>
  <c r="J219" i="1" s="1"/>
  <c r="I218" i="1"/>
  <c r="L218" i="1" s="1"/>
  <c r="G218" i="1"/>
  <c r="K218" i="1" s="1"/>
  <c r="E218" i="1"/>
  <c r="J218" i="1" s="1"/>
  <c r="I217" i="1"/>
  <c r="L217" i="1" s="1"/>
  <c r="G217" i="1"/>
  <c r="K217" i="1" s="1"/>
  <c r="E217" i="1"/>
  <c r="J217" i="1" s="1"/>
  <c r="I216" i="1"/>
  <c r="L216" i="1" s="1"/>
  <c r="G216" i="1"/>
  <c r="K216" i="1" s="1"/>
  <c r="E216" i="1"/>
  <c r="J216" i="1" s="1"/>
  <c r="I215" i="1"/>
  <c r="L215" i="1" s="1"/>
  <c r="G215" i="1"/>
  <c r="K215" i="1" s="1"/>
  <c r="E215" i="1"/>
  <c r="J215" i="1" s="1"/>
  <c r="I214" i="1"/>
  <c r="L214" i="1" s="1"/>
  <c r="G214" i="1"/>
  <c r="K214" i="1" s="1"/>
  <c r="E214" i="1"/>
  <c r="J214" i="1" s="1"/>
  <c r="I213" i="1"/>
  <c r="L213" i="1" s="1"/>
  <c r="G213" i="1"/>
  <c r="K213" i="1" s="1"/>
  <c r="E213" i="1"/>
  <c r="J213" i="1" s="1"/>
  <c r="I212" i="1"/>
  <c r="L212" i="1" s="1"/>
  <c r="G212" i="1"/>
  <c r="K212" i="1" s="1"/>
  <c r="E212" i="1"/>
  <c r="J212" i="1" s="1"/>
  <c r="I210" i="1"/>
  <c r="L210" i="1" s="1"/>
  <c r="G210" i="1"/>
  <c r="K210" i="1" s="1"/>
  <c r="E210" i="1"/>
  <c r="J210" i="1" s="1"/>
  <c r="I209" i="1"/>
  <c r="L209" i="1" s="1"/>
  <c r="G209" i="1"/>
  <c r="K209" i="1" s="1"/>
  <c r="E209" i="1"/>
  <c r="J209" i="1" s="1"/>
  <c r="I208" i="1"/>
  <c r="L208" i="1" s="1"/>
  <c r="G208" i="1"/>
  <c r="K208" i="1" s="1"/>
  <c r="E208" i="1"/>
  <c r="J208" i="1" s="1"/>
  <c r="I207" i="1"/>
  <c r="L207" i="1" s="1"/>
  <c r="G207" i="1"/>
  <c r="K207" i="1" s="1"/>
  <c r="E207" i="1"/>
  <c r="J207" i="1" s="1"/>
  <c r="I206" i="1"/>
  <c r="L206" i="1" s="1"/>
  <c r="G206" i="1"/>
  <c r="K206" i="1" s="1"/>
  <c r="E206" i="1"/>
  <c r="J206" i="1" s="1"/>
  <c r="I205" i="1"/>
  <c r="L205" i="1" s="1"/>
  <c r="G205" i="1"/>
  <c r="K205" i="1" s="1"/>
  <c r="E205" i="1"/>
  <c r="J205" i="1" s="1"/>
  <c r="I204" i="1"/>
  <c r="L204" i="1" s="1"/>
  <c r="G204" i="1"/>
  <c r="K204" i="1" s="1"/>
  <c r="E204" i="1"/>
  <c r="J204" i="1" s="1"/>
  <c r="I203" i="1"/>
  <c r="L203" i="1" s="1"/>
  <c r="G203" i="1"/>
  <c r="K203" i="1" s="1"/>
  <c r="E203" i="1"/>
  <c r="J203" i="1" s="1"/>
  <c r="I202" i="1"/>
  <c r="L202" i="1" s="1"/>
  <c r="G202" i="1"/>
  <c r="K202" i="1" s="1"/>
  <c r="E202" i="1"/>
  <c r="J202" i="1" s="1"/>
  <c r="I201" i="1"/>
  <c r="L201" i="1" s="1"/>
  <c r="G201" i="1"/>
  <c r="K201" i="1" s="1"/>
  <c r="E201" i="1"/>
  <c r="J201" i="1" s="1"/>
  <c r="I200" i="1"/>
  <c r="L200" i="1" s="1"/>
  <c r="G200" i="1"/>
  <c r="K200" i="1" s="1"/>
  <c r="E200" i="1"/>
  <c r="J200" i="1" s="1"/>
  <c r="I199" i="1"/>
  <c r="L199" i="1" s="1"/>
  <c r="G199" i="1"/>
  <c r="K199" i="1" s="1"/>
  <c r="E199" i="1"/>
  <c r="J199" i="1" s="1"/>
  <c r="I198" i="1"/>
  <c r="L198" i="1" s="1"/>
  <c r="G198" i="1"/>
  <c r="K198" i="1" s="1"/>
  <c r="E198" i="1"/>
  <c r="J198" i="1" s="1"/>
  <c r="I197" i="1"/>
  <c r="L197" i="1" s="1"/>
  <c r="G197" i="1"/>
  <c r="K197" i="1" s="1"/>
  <c r="E197" i="1"/>
  <c r="J197" i="1" s="1"/>
  <c r="I196" i="1"/>
  <c r="L196" i="1" s="1"/>
  <c r="G196" i="1"/>
  <c r="K196" i="1" s="1"/>
  <c r="E196" i="1"/>
  <c r="J196" i="1" s="1"/>
  <c r="I195" i="1"/>
  <c r="L195" i="1" s="1"/>
  <c r="G195" i="1"/>
  <c r="K195" i="1" s="1"/>
  <c r="E195" i="1"/>
  <c r="J195" i="1" s="1"/>
  <c r="I194" i="1"/>
  <c r="L194" i="1" s="1"/>
  <c r="G194" i="1"/>
  <c r="K194" i="1" s="1"/>
  <c r="E194" i="1"/>
  <c r="J194" i="1" s="1"/>
  <c r="I193" i="1"/>
  <c r="L193" i="1" s="1"/>
  <c r="G193" i="1"/>
  <c r="K193" i="1" s="1"/>
  <c r="E193" i="1"/>
  <c r="J193" i="1" s="1"/>
  <c r="I192" i="1"/>
  <c r="L192" i="1" s="1"/>
  <c r="G192" i="1"/>
  <c r="K192" i="1" s="1"/>
  <c r="E192" i="1"/>
  <c r="J192" i="1" s="1"/>
  <c r="I191" i="1"/>
  <c r="L191" i="1" s="1"/>
  <c r="G191" i="1"/>
  <c r="K191" i="1" s="1"/>
  <c r="E191" i="1"/>
  <c r="J191" i="1" s="1"/>
  <c r="I188" i="1"/>
  <c r="L188" i="1" s="1"/>
  <c r="G188" i="1"/>
  <c r="K188" i="1" s="1"/>
  <c r="E188" i="1"/>
  <c r="J188" i="1" s="1"/>
  <c r="I187" i="1"/>
  <c r="L187" i="1" s="1"/>
  <c r="G187" i="1"/>
  <c r="K187" i="1" s="1"/>
  <c r="E187" i="1"/>
  <c r="J187" i="1" s="1"/>
  <c r="I186" i="1"/>
  <c r="L186" i="1" s="1"/>
  <c r="G186" i="1"/>
  <c r="K186" i="1" s="1"/>
  <c r="E186" i="1"/>
  <c r="J186" i="1" s="1"/>
  <c r="I185" i="1"/>
  <c r="L185" i="1" s="1"/>
  <c r="G185" i="1"/>
  <c r="K185" i="1" s="1"/>
  <c r="E185" i="1"/>
  <c r="J185" i="1" s="1"/>
  <c r="I184" i="1"/>
  <c r="L184" i="1" s="1"/>
  <c r="G184" i="1"/>
  <c r="K184" i="1" s="1"/>
  <c r="E184" i="1"/>
  <c r="J184" i="1" s="1"/>
  <c r="I183" i="1"/>
  <c r="L183" i="1" s="1"/>
  <c r="G183" i="1"/>
  <c r="K183" i="1" s="1"/>
  <c r="E183" i="1"/>
  <c r="J183" i="1" s="1"/>
  <c r="I182" i="1"/>
  <c r="L182" i="1" s="1"/>
  <c r="G182" i="1"/>
  <c r="K182" i="1" s="1"/>
  <c r="E182" i="1"/>
  <c r="J182" i="1" s="1"/>
  <c r="I181" i="1"/>
  <c r="L181" i="1" s="1"/>
  <c r="G181" i="1"/>
  <c r="K181" i="1" s="1"/>
  <c r="E181" i="1"/>
  <c r="J181" i="1" s="1"/>
  <c r="I180" i="1"/>
  <c r="L180" i="1" s="1"/>
  <c r="G180" i="1"/>
  <c r="K180" i="1" s="1"/>
  <c r="E180" i="1"/>
  <c r="J180" i="1" s="1"/>
  <c r="I179" i="1"/>
  <c r="L179" i="1" s="1"/>
  <c r="G179" i="1"/>
  <c r="K179" i="1" s="1"/>
  <c r="E179" i="1"/>
  <c r="J179" i="1" s="1"/>
  <c r="I178" i="1"/>
  <c r="L178" i="1" s="1"/>
  <c r="G178" i="1"/>
  <c r="K178" i="1" s="1"/>
  <c r="E178" i="1"/>
  <c r="J178" i="1" s="1"/>
  <c r="I176" i="1"/>
  <c r="L176" i="1" s="1"/>
  <c r="G176" i="1"/>
  <c r="K176" i="1" s="1"/>
  <c r="E176" i="1"/>
  <c r="J176" i="1" s="1"/>
  <c r="I175" i="1"/>
  <c r="L175" i="1" s="1"/>
  <c r="G175" i="1"/>
  <c r="K175" i="1" s="1"/>
  <c r="E175" i="1"/>
  <c r="J175" i="1" s="1"/>
  <c r="I174" i="1"/>
  <c r="L174" i="1" s="1"/>
  <c r="G174" i="1"/>
  <c r="K174" i="1" s="1"/>
  <c r="E174" i="1"/>
  <c r="J174" i="1" s="1"/>
  <c r="I173" i="1"/>
  <c r="L173" i="1" s="1"/>
  <c r="G173" i="1"/>
  <c r="K173" i="1" s="1"/>
  <c r="E173" i="1"/>
  <c r="J173" i="1" s="1"/>
  <c r="I172" i="1"/>
  <c r="L172" i="1" s="1"/>
  <c r="G172" i="1"/>
  <c r="K172" i="1" s="1"/>
  <c r="E172" i="1"/>
  <c r="J172" i="1" s="1"/>
  <c r="I171" i="1"/>
  <c r="L171" i="1" s="1"/>
  <c r="G171" i="1"/>
  <c r="K171" i="1" s="1"/>
  <c r="E171" i="1"/>
  <c r="J171" i="1" s="1"/>
  <c r="I170" i="1"/>
  <c r="L170" i="1" s="1"/>
  <c r="G170" i="1"/>
  <c r="K170" i="1" s="1"/>
  <c r="E170" i="1"/>
  <c r="J170" i="1" s="1"/>
  <c r="I165" i="1"/>
  <c r="L165" i="1" s="1"/>
  <c r="G165" i="1"/>
  <c r="K165" i="1" s="1"/>
  <c r="E165" i="1"/>
  <c r="J165" i="1" s="1"/>
  <c r="I164" i="1"/>
  <c r="L164" i="1" s="1"/>
  <c r="G164" i="1"/>
  <c r="K164" i="1" s="1"/>
  <c r="E164" i="1"/>
  <c r="J164" i="1" s="1"/>
  <c r="I163" i="1"/>
  <c r="L163" i="1" s="1"/>
  <c r="G163" i="1"/>
  <c r="K163" i="1" s="1"/>
  <c r="E163" i="1"/>
  <c r="J163" i="1" s="1"/>
  <c r="I162" i="1"/>
  <c r="L162" i="1" s="1"/>
  <c r="G162" i="1"/>
  <c r="K162" i="1" s="1"/>
  <c r="E162" i="1"/>
  <c r="J162" i="1" s="1"/>
  <c r="I161" i="1"/>
  <c r="L161" i="1" s="1"/>
  <c r="G161" i="1"/>
  <c r="K161" i="1" s="1"/>
  <c r="E161" i="1"/>
  <c r="J161" i="1" s="1"/>
  <c r="I160" i="1"/>
  <c r="L160" i="1" s="1"/>
  <c r="G160" i="1"/>
  <c r="K160" i="1" s="1"/>
  <c r="E160" i="1"/>
  <c r="J160" i="1" s="1"/>
  <c r="I159" i="1"/>
  <c r="L159" i="1" s="1"/>
  <c r="G159" i="1"/>
  <c r="K159" i="1" s="1"/>
  <c r="E159" i="1"/>
  <c r="J159" i="1" s="1"/>
  <c r="I158" i="1"/>
  <c r="L158" i="1" s="1"/>
  <c r="G158" i="1"/>
  <c r="K158" i="1" s="1"/>
  <c r="E158" i="1"/>
  <c r="J158" i="1" s="1"/>
  <c r="I157" i="1"/>
  <c r="L157" i="1" s="1"/>
  <c r="G157" i="1"/>
  <c r="K157" i="1" s="1"/>
  <c r="E157" i="1"/>
  <c r="J157" i="1" s="1"/>
  <c r="I156" i="1"/>
  <c r="L156" i="1" s="1"/>
  <c r="G156" i="1"/>
  <c r="K156" i="1" s="1"/>
  <c r="E156" i="1"/>
  <c r="J156" i="1" s="1"/>
  <c r="I155" i="1"/>
  <c r="L155" i="1" s="1"/>
  <c r="G155" i="1"/>
  <c r="K155" i="1" s="1"/>
  <c r="E155" i="1"/>
  <c r="J155" i="1" s="1"/>
  <c r="I154" i="1"/>
  <c r="L154" i="1" s="1"/>
  <c r="G154" i="1"/>
  <c r="K154" i="1" s="1"/>
  <c r="E154" i="1"/>
  <c r="J154" i="1" s="1"/>
  <c r="I153" i="1"/>
  <c r="L153" i="1" s="1"/>
  <c r="G153" i="1"/>
  <c r="K153" i="1" s="1"/>
  <c r="E153" i="1"/>
  <c r="J153" i="1" s="1"/>
  <c r="I152" i="1"/>
  <c r="L152" i="1" s="1"/>
  <c r="G152" i="1"/>
  <c r="K152" i="1" s="1"/>
  <c r="E152" i="1"/>
  <c r="J152" i="1" s="1"/>
  <c r="I151" i="1"/>
  <c r="L151" i="1" s="1"/>
  <c r="G151" i="1"/>
  <c r="K151" i="1" s="1"/>
  <c r="E151" i="1"/>
  <c r="J151" i="1" s="1"/>
  <c r="I150" i="1"/>
  <c r="L150" i="1" s="1"/>
  <c r="G150" i="1"/>
  <c r="K150" i="1" s="1"/>
  <c r="E150" i="1"/>
  <c r="J150" i="1" s="1"/>
  <c r="I149" i="1"/>
  <c r="L149" i="1" s="1"/>
  <c r="G149" i="1"/>
  <c r="K149" i="1" s="1"/>
  <c r="E149" i="1"/>
  <c r="J149" i="1" s="1"/>
  <c r="I148" i="1"/>
  <c r="L148" i="1" s="1"/>
  <c r="G148" i="1"/>
  <c r="K148" i="1" s="1"/>
  <c r="E148" i="1"/>
  <c r="J148" i="1" s="1"/>
  <c r="I147" i="1"/>
  <c r="L147" i="1" s="1"/>
  <c r="G147" i="1"/>
  <c r="K147" i="1" s="1"/>
  <c r="E147" i="1"/>
  <c r="J147" i="1" s="1"/>
  <c r="I146" i="1"/>
  <c r="L146" i="1" s="1"/>
  <c r="G146" i="1"/>
  <c r="K146" i="1" s="1"/>
  <c r="E146" i="1"/>
  <c r="J146" i="1" s="1"/>
  <c r="I145" i="1"/>
  <c r="L145" i="1" s="1"/>
  <c r="G145" i="1"/>
  <c r="K145" i="1" s="1"/>
  <c r="E145" i="1"/>
  <c r="J145" i="1" s="1"/>
  <c r="I144" i="1"/>
  <c r="L144" i="1" s="1"/>
  <c r="G144" i="1"/>
  <c r="K144" i="1" s="1"/>
  <c r="E144" i="1"/>
  <c r="J144" i="1" s="1"/>
  <c r="I143" i="1"/>
  <c r="L143" i="1" s="1"/>
  <c r="G143" i="1"/>
  <c r="K143" i="1" s="1"/>
  <c r="E143" i="1"/>
  <c r="J143" i="1" s="1"/>
  <c r="I142" i="1"/>
  <c r="L142" i="1" s="1"/>
  <c r="G142" i="1"/>
  <c r="K142" i="1" s="1"/>
  <c r="E142" i="1"/>
  <c r="J142" i="1" s="1"/>
  <c r="I141" i="1"/>
  <c r="L141" i="1" s="1"/>
  <c r="G141" i="1"/>
  <c r="K141" i="1" s="1"/>
  <c r="E141" i="1"/>
  <c r="J141" i="1" s="1"/>
  <c r="I140" i="1"/>
  <c r="L140" i="1" s="1"/>
  <c r="G140" i="1"/>
  <c r="K140" i="1" s="1"/>
  <c r="E140" i="1"/>
  <c r="J140" i="1" s="1"/>
  <c r="I139" i="1"/>
  <c r="L139" i="1" s="1"/>
  <c r="G139" i="1"/>
  <c r="K139" i="1" s="1"/>
  <c r="E139" i="1"/>
  <c r="J139" i="1" s="1"/>
  <c r="I138" i="1"/>
  <c r="L138" i="1" s="1"/>
  <c r="G138" i="1"/>
  <c r="K138" i="1" s="1"/>
  <c r="E138" i="1"/>
  <c r="J138" i="1" s="1"/>
  <c r="I137" i="1"/>
  <c r="L137" i="1" s="1"/>
  <c r="G137" i="1"/>
  <c r="K137" i="1" s="1"/>
  <c r="E137" i="1"/>
  <c r="J137" i="1" s="1"/>
  <c r="I136" i="1"/>
  <c r="L136" i="1" s="1"/>
  <c r="G136" i="1"/>
  <c r="K136" i="1" s="1"/>
  <c r="E136" i="1"/>
  <c r="J136" i="1" s="1"/>
  <c r="I135" i="1"/>
  <c r="L135" i="1" s="1"/>
  <c r="G135" i="1"/>
  <c r="K135" i="1" s="1"/>
  <c r="E135" i="1"/>
  <c r="J135" i="1" s="1"/>
  <c r="I134" i="1"/>
  <c r="L134" i="1" s="1"/>
  <c r="G134" i="1"/>
  <c r="K134" i="1" s="1"/>
  <c r="E134" i="1"/>
  <c r="J134" i="1" s="1"/>
  <c r="I132" i="1"/>
  <c r="L132" i="1" s="1"/>
  <c r="G132" i="1"/>
  <c r="K132" i="1" s="1"/>
  <c r="E132" i="1"/>
  <c r="J132" i="1" s="1"/>
  <c r="I131" i="1"/>
  <c r="L131" i="1" s="1"/>
  <c r="G131" i="1"/>
  <c r="K131" i="1" s="1"/>
  <c r="E131" i="1"/>
  <c r="J131" i="1" s="1"/>
  <c r="I130" i="1"/>
  <c r="L130" i="1" s="1"/>
  <c r="G130" i="1"/>
  <c r="K130" i="1" s="1"/>
  <c r="E130" i="1"/>
  <c r="J130" i="1" s="1"/>
  <c r="I129" i="1"/>
  <c r="L129" i="1" s="1"/>
  <c r="G129" i="1"/>
  <c r="K129" i="1" s="1"/>
  <c r="E129" i="1"/>
  <c r="J129" i="1" s="1"/>
  <c r="I128" i="1"/>
  <c r="L128" i="1" s="1"/>
  <c r="G128" i="1"/>
  <c r="K128" i="1" s="1"/>
  <c r="E128" i="1"/>
  <c r="J128" i="1" s="1"/>
  <c r="I127" i="1"/>
  <c r="L127" i="1" s="1"/>
  <c r="G127" i="1"/>
  <c r="K127" i="1" s="1"/>
  <c r="E127" i="1"/>
  <c r="J127" i="1" s="1"/>
  <c r="I126" i="1"/>
  <c r="L126" i="1" s="1"/>
  <c r="G126" i="1"/>
  <c r="K126" i="1" s="1"/>
  <c r="E126" i="1"/>
  <c r="J126" i="1" s="1"/>
  <c r="I125" i="1"/>
  <c r="L125" i="1" s="1"/>
  <c r="G125" i="1"/>
  <c r="K125" i="1" s="1"/>
  <c r="E125" i="1"/>
  <c r="J125" i="1" s="1"/>
  <c r="I124" i="1"/>
  <c r="L124" i="1" s="1"/>
  <c r="G124" i="1"/>
  <c r="K124" i="1" s="1"/>
  <c r="E124" i="1"/>
  <c r="J124" i="1" s="1"/>
  <c r="I123" i="1"/>
  <c r="L123" i="1" s="1"/>
  <c r="G123" i="1"/>
  <c r="K123" i="1" s="1"/>
  <c r="E123" i="1"/>
  <c r="J123" i="1" s="1"/>
  <c r="I122" i="1"/>
  <c r="L122" i="1" s="1"/>
  <c r="G122" i="1"/>
  <c r="K122" i="1" s="1"/>
  <c r="E122" i="1"/>
  <c r="J122" i="1" s="1"/>
  <c r="I121" i="1"/>
  <c r="L121" i="1" s="1"/>
  <c r="G121" i="1"/>
  <c r="K121" i="1" s="1"/>
  <c r="E121" i="1"/>
  <c r="J121" i="1" s="1"/>
  <c r="I120" i="1"/>
  <c r="L120" i="1" s="1"/>
  <c r="G120" i="1"/>
  <c r="K120" i="1" s="1"/>
  <c r="E120" i="1"/>
  <c r="J120" i="1" s="1"/>
  <c r="I119" i="1"/>
  <c r="L119" i="1" s="1"/>
  <c r="G119" i="1"/>
  <c r="K119" i="1" s="1"/>
  <c r="E119" i="1"/>
  <c r="J119" i="1" s="1"/>
  <c r="I118" i="1"/>
  <c r="L118" i="1" s="1"/>
  <c r="G118" i="1"/>
  <c r="K118" i="1" s="1"/>
  <c r="E118" i="1"/>
  <c r="J118" i="1" s="1"/>
  <c r="I117" i="1"/>
  <c r="L117" i="1" s="1"/>
  <c r="G117" i="1"/>
  <c r="K117" i="1" s="1"/>
  <c r="E117" i="1"/>
  <c r="J117" i="1" s="1"/>
  <c r="I116" i="1"/>
  <c r="L116" i="1" s="1"/>
  <c r="G116" i="1"/>
  <c r="K116" i="1" s="1"/>
  <c r="E116" i="1"/>
  <c r="J116" i="1" s="1"/>
  <c r="I115" i="1"/>
  <c r="L115" i="1" s="1"/>
  <c r="G115" i="1"/>
  <c r="K115" i="1" s="1"/>
  <c r="E115" i="1"/>
  <c r="J115" i="1" s="1"/>
  <c r="I114" i="1"/>
  <c r="L114" i="1" s="1"/>
  <c r="G114" i="1"/>
  <c r="K114" i="1" s="1"/>
  <c r="E114" i="1"/>
  <c r="J114" i="1" s="1"/>
  <c r="I113" i="1"/>
  <c r="L113" i="1" s="1"/>
  <c r="G113" i="1"/>
  <c r="K113" i="1" s="1"/>
  <c r="E113" i="1"/>
  <c r="J113" i="1" s="1"/>
  <c r="I112" i="1"/>
  <c r="L112" i="1" s="1"/>
  <c r="G112" i="1"/>
  <c r="K112" i="1" s="1"/>
  <c r="E112" i="1"/>
  <c r="J112" i="1" s="1"/>
  <c r="I111" i="1"/>
  <c r="L111" i="1" s="1"/>
  <c r="G111" i="1"/>
  <c r="K111" i="1" s="1"/>
  <c r="E111" i="1"/>
  <c r="J111" i="1" s="1"/>
  <c r="I110" i="1"/>
  <c r="L110" i="1" s="1"/>
  <c r="G110" i="1"/>
  <c r="K110" i="1" s="1"/>
  <c r="E110" i="1"/>
  <c r="J110" i="1" s="1"/>
  <c r="I109" i="1"/>
  <c r="L109" i="1" s="1"/>
  <c r="G109" i="1"/>
  <c r="K109" i="1" s="1"/>
  <c r="E109" i="1"/>
  <c r="J109" i="1" s="1"/>
  <c r="I108" i="1"/>
  <c r="L108" i="1" s="1"/>
  <c r="G108" i="1"/>
  <c r="K108" i="1" s="1"/>
  <c r="E108" i="1"/>
  <c r="J108" i="1" s="1"/>
  <c r="I107" i="1"/>
  <c r="L107" i="1" s="1"/>
  <c r="G107" i="1"/>
  <c r="K107" i="1" s="1"/>
  <c r="E107" i="1"/>
  <c r="J107" i="1" s="1"/>
  <c r="I106" i="1"/>
  <c r="L106" i="1" s="1"/>
  <c r="G106" i="1"/>
  <c r="K106" i="1" s="1"/>
  <c r="E106" i="1"/>
  <c r="J106" i="1" s="1"/>
  <c r="I105" i="1"/>
  <c r="L105" i="1" s="1"/>
  <c r="G105" i="1"/>
  <c r="K105" i="1" s="1"/>
  <c r="E105" i="1"/>
  <c r="J105" i="1" s="1"/>
  <c r="I104" i="1"/>
  <c r="L104" i="1" s="1"/>
  <c r="G104" i="1"/>
  <c r="K104" i="1" s="1"/>
  <c r="E104" i="1"/>
  <c r="J104" i="1" s="1"/>
  <c r="I103" i="1"/>
  <c r="L103" i="1" s="1"/>
  <c r="G103" i="1"/>
  <c r="K103" i="1" s="1"/>
  <c r="E103" i="1"/>
  <c r="J103" i="1" s="1"/>
  <c r="I102" i="1"/>
  <c r="L102" i="1" s="1"/>
  <c r="G102" i="1"/>
  <c r="K102" i="1" s="1"/>
  <c r="E102" i="1"/>
  <c r="J102" i="1" s="1"/>
  <c r="I101" i="1"/>
  <c r="L101" i="1" s="1"/>
  <c r="G101" i="1"/>
  <c r="K101" i="1" s="1"/>
  <c r="E101" i="1"/>
  <c r="J101" i="1" s="1"/>
  <c r="I100" i="1"/>
  <c r="L100" i="1" s="1"/>
  <c r="G100" i="1"/>
  <c r="K100" i="1" s="1"/>
  <c r="E100" i="1"/>
  <c r="J100" i="1" s="1"/>
  <c r="I99" i="1"/>
  <c r="L99" i="1" s="1"/>
  <c r="G99" i="1"/>
  <c r="K99" i="1" s="1"/>
  <c r="E99" i="1"/>
  <c r="J99" i="1" s="1"/>
  <c r="I98" i="1"/>
  <c r="L98" i="1" s="1"/>
  <c r="G98" i="1"/>
  <c r="K98" i="1" s="1"/>
  <c r="E98" i="1"/>
  <c r="J98" i="1" s="1"/>
  <c r="I96" i="1"/>
  <c r="L96" i="1" s="1"/>
  <c r="G96" i="1"/>
  <c r="K96" i="1" s="1"/>
  <c r="E96" i="1"/>
  <c r="J96" i="1" s="1"/>
  <c r="I95" i="1"/>
  <c r="L95" i="1" s="1"/>
  <c r="G95" i="1"/>
  <c r="K95" i="1" s="1"/>
  <c r="E95" i="1"/>
  <c r="J95" i="1" s="1"/>
  <c r="I94" i="1"/>
  <c r="L94" i="1" s="1"/>
  <c r="G94" i="1"/>
  <c r="K94" i="1" s="1"/>
  <c r="E94" i="1"/>
  <c r="J94" i="1" s="1"/>
  <c r="I93" i="1"/>
  <c r="L93" i="1" s="1"/>
  <c r="G93" i="1"/>
  <c r="K93" i="1" s="1"/>
  <c r="E93" i="1"/>
  <c r="J93" i="1" s="1"/>
  <c r="I92" i="1"/>
  <c r="L92" i="1" s="1"/>
  <c r="G92" i="1"/>
  <c r="K92" i="1" s="1"/>
  <c r="E92" i="1"/>
  <c r="J92" i="1" s="1"/>
  <c r="I91" i="1"/>
  <c r="L91" i="1" s="1"/>
  <c r="G91" i="1"/>
  <c r="K91" i="1" s="1"/>
  <c r="E91" i="1"/>
  <c r="J91" i="1" s="1"/>
  <c r="I90" i="1"/>
  <c r="L90" i="1" s="1"/>
  <c r="G90" i="1"/>
  <c r="K90" i="1" s="1"/>
  <c r="E90" i="1"/>
  <c r="J90" i="1" s="1"/>
  <c r="I89" i="1"/>
  <c r="L89" i="1" s="1"/>
  <c r="G89" i="1"/>
  <c r="K89" i="1" s="1"/>
  <c r="E89" i="1"/>
  <c r="J89" i="1" s="1"/>
  <c r="I88" i="1"/>
  <c r="L88" i="1" s="1"/>
  <c r="G88" i="1"/>
  <c r="K88" i="1" s="1"/>
  <c r="E88" i="1"/>
  <c r="J88" i="1" s="1"/>
  <c r="I87" i="1"/>
  <c r="L87" i="1" s="1"/>
  <c r="G87" i="1"/>
  <c r="K87" i="1" s="1"/>
  <c r="E87" i="1"/>
  <c r="J87" i="1" s="1"/>
  <c r="I86" i="1"/>
  <c r="L86" i="1" s="1"/>
  <c r="G86" i="1"/>
  <c r="K86" i="1" s="1"/>
  <c r="E86" i="1"/>
  <c r="J86" i="1" s="1"/>
  <c r="I85" i="1"/>
  <c r="L85" i="1" s="1"/>
  <c r="G85" i="1"/>
  <c r="K85" i="1" s="1"/>
  <c r="E85" i="1"/>
  <c r="J85" i="1" s="1"/>
  <c r="I84" i="1"/>
  <c r="L84" i="1" s="1"/>
  <c r="G84" i="1"/>
  <c r="K84" i="1" s="1"/>
  <c r="E84" i="1"/>
  <c r="J84" i="1" s="1"/>
  <c r="I83" i="1"/>
  <c r="L83" i="1" s="1"/>
  <c r="G83" i="1"/>
  <c r="K83" i="1" s="1"/>
  <c r="E83" i="1"/>
  <c r="J83" i="1" s="1"/>
  <c r="I82" i="1"/>
  <c r="L82" i="1" s="1"/>
  <c r="G82" i="1"/>
  <c r="K82" i="1" s="1"/>
  <c r="E82" i="1"/>
  <c r="J82" i="1" s="1"/>
  <c r="I81" i="1"/>
  <c r="L81" i="1" s="1"/>
  <c r="G81" i="1"/>
  <c r="K81" i="1" s="1"/>
  <c r="E81" i="1"/>
  <c r="J81" i="1" s="1"/>
  <c r="I80" i="1"/>
  <c r="L80" i="1" s="1"/>
  <c r="G80" i="1"/>
  <c r="K80" i="1" s="1"/>
  <c r="E80" i="1"/>
  <c r="J80" i="1" s="1"/>
  <c r="I79" i="1"/>
  <c r="L79" i="1" s="1"/>
  <c r="G79" i="1"/>
  <c r="K79" i="1" s="1"/>
  <c r="E79" i="1"/>
  <c r="J79" i="1" s="1"/>
  <c r="I78" i="1"/>
  <c r="L78" i="1" s="1"/>
  <c r="G78" i="1"/>
  <c r="K78" i="1" s="1"/>
  <c r="E78" i="1"/>
  <c r="J78" i="1" s="1"/>
  <c r="I77" i="1"/>
  <c r="L77" i="1" s="1"/>
  <c r="G77" i="1"/>
  <c r="K77" i="1" s="1"/>
  <c r="E77" i="1"/>
  <c r="J77" i="1" s="1"/>
  <c r="I76" i="1"/>
  <c r="L76" i="1" s="1"/>
  <c r="G76" i="1"/>
  <c r="K76" i="1" s="1"/>
  <c r="E76" i="1"/>
  <c r="J76" i="1" s="1"/>
  <c r="I75" i="1"/>
  <c r="L75" i="1" s="1"/>
  <c r="G75" i="1"/>
  <c r="K75" i="1" s="1"/>
  <c r="E75" i="1"/>
  <c r="J75" i="1" s="1"/>
  <c r="I74" i="1"/>
  <c r="L74" i="1" s="1"/>
  <c r="G74" i="1"/>
  <c r="K74" i="1" s="1"/>
  <c r="E74" i="1"/>
  <c r="J74" i="1" s="1"/>
  <c r="I73" i="1"/>
  <c r="L73" i="1" s="1"/>
  <c r="G73" i="1"/>
  <c r="K73" i="1" s="1"/>
  <c r="E73" i="1"/>
  <c r="J73" i="1" s="1"/>
  <c r="I72" i="1"/>
  <c r="L72" i="1" s="1"/>
  <c r="G72" i="1"/>
  <c r="K72" i="1" s="1"/>
  <c r="E72" i="1"/>
  <c r="J72" i="1" s="1"/>
  <c r="I71" i="1"/>
  <c r="L71" i="1" s="1"/>
  <c r="G71" i="1"/>
  <c r="K71" i="1" s="1"/>
  <c r="E71" i="1"/>
  <c r="J71" i="1" s="1"/>
  <c r="I70" i="1"/>
  <c r="L70" i="1" s="1"/>
  <c r="G70" i="1"/>
  <c r="K70" i="1" s="1"/>
  <c r="E70" i="1"/>
  <c r="J70" i="1" s="1"/>
  <c r="I69" i="1"/>
  <c r="L69" i="1" s="1"/>
  <c r="G69" i="1"/>
  <c r="K69" i="1" s="1"/>
  <c r="E69" i="1"/>
  <c r="J69" i="1" s="1"/>
  <c r="I68" i="1"/>
  <c r="L68" i="1" s="1"/>
  <c r="G68" i="1"/>
  <c r="K68" i="1" s="1"/>
  <c r="E68" i="1"/>
  <c r="J68" i="1" s="1"/>
  <c r="I67" i="1"/>
  <c r="L67" i="1" s="1"/>
  <c r="G67" i="1"/>
  <c r="K67" i="1" s="1"/>
  <c r="E67" i="1"/>
  <c r="J67" i="1" s="1"/>
  <c r="I66" i="1"/>
  <c r="L66" i="1" s="1"/>
  <c r="G66" i="1"/>
  <c r="K66" i="1" s="1"/>
  <c r="E66" i="1"/>
  <c r="J66" i="1" s="1"/>
  <c r="I65" i="1"/>
  <c r="L65" i="1" s="1"/>
  <c r="G65" i="1"/>
  <c r="K65" i="1" s="1"/>
  <c r="E65" i="1"/>
  <c r="J65" i="1" s="1"/>
  <c r="I64" i="1"/>
  <c r="L64" i="1" s="1"/>
  <c r="G64" i="1"/>
  <c r="K64" i="1" s="1"/>
  <c r="E64" i="1"/>
  <c r="J64" i="1" s="1"/>
  <c r="I63" i="1"/>
  <c r="L63" i="1" s="1"/>
  <c r="G63" i="1"/>
  <c r="K63" i="1" s="1"/>
  <c r="E63" i="1"/>
  <c r="J63" i="1" s="1"/>
  <c r="I62" i="1"/>
  <c r="L62" i="1" s="1"/>
  <c r="G62" i="1"/>
  <c r="K62" i="1" s="1"/>
  <c r="E62" i="1"/>
  <c r="J62" i="1" s="1"/>
  <c r="I61" i="1"/>
  <c r="L61" i="1" s="1"/>
  <c r="G61" i="1"/>
  <c r="K61" i="1" s="1"/>
  <c r="E61" i="1"/>
  <c r="J61" i="1" s="1"/>
  <c r="I60" i="1"/>
  <c r="L60" i="1" s="1"/>
  <c r="G60" i="1"/>
  <c r="K60" i="1" s="1"/>
  <c r="E60" i="1"/>
  <c r="J60" i="1" s="1"/>
  <c r="I58" i="1"/>
  <c r="L58" i="1" s="1"/>
  <c r="G58" i="1"/>
  <c r="K58" i="1" s="1"/>
  <c r="E58" i="1"/>
  <c r="J58" i="1" s="1"/>
  <c r="I57" i="1"/>
  <c r="L57" i="1" s="1"/>
  <c r="G57" i="1"/>
  <c r="K57" i="1" s="1"/>
  <c r="E57" i="1"/>
  <c r="J57" i="1" s="1"/>
  <c r="I56" i="1"/>
  <c r="L56" i="1" s="1"/>
  <c r="G56" i="1"/>
  <c r="K56" i="1" s="1"/>
  <c r="E56" i="1"/>
  <c r="J56" i="1" s="1"/>
  <c r="I55" i="1"/>
  <c r="L55" i="1" s="1"/>
  <c r="G55" i="1"/>
  <c r="K55" i="1" s="1"/>
  <c r="E55" i="1"/>
  <c r="J55" i="1" s="1"/>
  <c r="I54" i="1"/>
  <c r="L54" i="1" s="1"/>
  <c r="G54" i="1"/>
  <c r="K54" i="1" s="1"/>
  <c r="E54" i="1"/>
  <c r="J54" i="1" s="1"/>
  <c r="I53" i="1"/>
  <c r="L53" i="1" s="1"/>
  <c r="G53" i="1"/>
  <c r="K53" i="1" s="1"/>
  <c r="E53" i="1"/>
  <c r="J53" i="1" s="1"/>
  <c r="I52" i="1"/>
  <c r="L52" i="1" s="1"/>
  <c r="G52" i="1"/>
  <c r="K52" i="1" s="1"/>
  <c r="E52" i="1"/>
  <c r="J52" i="1" s="1"/>
  <c r="I51" i="1"/>
  <c r="L51" i="1" s="1"/>
  <c r="G51" i="1"/>
  <c r="K51" i="1" s="1"/>
  <c r="E51" i="1"/>
  <c r="J51" i="1" s="1"/>
  <c r="I50" i="1"/>
  <c r="L50" i="1" s="1"/>
  <c r="G50" i="1"/>
  <c r="K50" i="1" s="1"/>
  <c r="E50" i="1"/>
  <c r="J50" i="1" s="1"/>
  <c r="I49" i="1"/>
  <c r="L49" i="1" s="1"/>
  <c r="G49" i="1"/>
  <c r="K49" i="1" s="1"/>
  <c r="E49" i="1"/>
  <c r="J49" i="1" s="1"/>
  <c r="I48" i="1"/>
  <c r="L48" i="1" s="1"/>
  <c r="G48" i="1"/>
  <c r="K48" i="1" s="1"/>
  <c r="E48" i="1"/>
  <c r="J48" i="1" s="1"/>
  <c r="I47" i="1"/>
  <c r="L47" i="1" s="1"/>
  <c r="G47" i="1"/>
  <c r="K47" i="1" s="1"/>
  <c r="E47" i="1"/>
  <c r="J47" i="1" s="1"/>
  <c r="I46" i="1"/>
  <c r="L46" i="1" s="1"/>
  <c r="G46" i="1"/>
  <c r="K46" i="1" s="1"/>
  <c r="E46" i="1"/>
  <c r="J46" i="1" s="1"/>
  <c r="I45" i="1"/>
  <c r="L45" i="1" s="1"/>
  <c r="G45" i="1"/>
  <c r="K45" i="1" s="1"/>
  <c r="E45" i="1"/>
  <c r="J45" i="1" s="1"/>
  <c r="I44" i="1"/>
  <c r="L44" i="1" s="1"/>
  <c r="G44" i="1"/>
  <c r="K44" i="1" s="1"/>
  <c r="E44" i="1"/>
  <c r="J44" i="1" s="1"/>
  <c r="I43" i="1"/>
  <c r="L43" i="1" s="1"/>
  <c r="G43" i="1"/>
  <c r="K43" i="1" s="1"/>
  <c r="E43" i="1"/>
  <c r="J43" i="1" s="1"/>
  <c r="I42" i="1"/>
  <c r="L42" i="1" s="1"/>
  <c r="G42" i="1"/>
  <c r="K42" i="1" s="1"/>
  <c r="E42" i="1"/>
  <c r="J42" i="1" s="1"/>
  <c r="I41" i="1"/>
  <c r="L41" i="1" s="1"/>
  <c r="G41" i="1"/>
  <c r="K41" i="1" s="1"/>
  <c r="E41" i="1"/>
  <c r="J41" i="1" s="1"/>
  <c r="I40" i="1"/>
  <c r="L40" i="1" s="1"/>
  <c r="G40" i="1"/>
  <c r="K40" i="1" s="1"/>
  <c r="E40" i="1"/>
  <c r="J40" i="1" s="1"/>
  <c r="I39" i="1"/>
  <c r="L39" i="1" s="1"/>
  <c r="G39" i="1"/>
  <c r="K39" i="1" s="1"/>
  <c r="E39" i="1"/>
  <c r="J39" i="1" s="1"/>
  <c r="I38" i="1"/>
  <c r="L38" i="1" s="1"/>
  <c r="G38" i="1"/>
  <c r="K38" i="1" s="1"/>
  <c r="E38" i="1"/>
  <c r="J38" i="1" s="1"/>
  <c r="I37" i="1"/>
  <c r="L37" i="1" s="1"/>
  <c r="G37" i="1"/>
  <c r="K37" i="1" s="1"/>
  <c r="E37" i="1"/>
  <c r="J37" i="1" s="1"/>
  <c r="I36" i="1"/>
  <c r="L36" i="1" s="1"/>
  <c r="G36" i="1"/>
  <c r="K36" i="1" s="1"/>
  <c r="E36" i="1"/>
  <c r="J36" i="1" s="1"/>
  <c r="I35" i="1"/>
  <c r="L35" i="1" s="1"/>
  <c r="G35" i="1"/>
  <c r="K35" i="1" s="1"/>
  <c r="E35" i="1"/>
  <c r="J35" i="1" s="1"/>
  <c r="I34" i="1"/>
  <c r="L34" i="1" s="1"/>
  <c r="G34" i="1"/>
  <c r="K34" i="1" s="1"/>
  <c r="E34" i="1"/>
  <c r="J34" i="1" s="1"/>
  <c r="I33" i="1"/>
  <c r="L33" i="1" s="1"/>
  <c r="G33" i="1"/>
  <c r="K33" i="1" s="1"/>
  <c r="E33" i="1"/>
  <c r="J33" i="1" s="1"/>
  <c r="I31" i="1"/>
  <c r="L31" i="1" s="1"/>
  <c r="G31" i="1"/>
  <c r="K31" i="1" s="1"/>
  <c r="E31" i="1"/>
  <c r="J31" i="1" s="1"/>
  <c r="I30" i="1"/>
  <c r="L30" i="1" s="1"/>
  <c r="G30" i="1"/>
  <c r="K30" i="1" s="1"/>
  <c r="E30" i="1"/>
  <c r="J30" i="1" s="1"/>
  <c r="I29" i="1"/>
  <c r="L29" i="1" s="1"/>
  <c r="G29" i="1"/>
  <c r="K29" i="1" s="1"/>
  <c r="E29" i="1"/>
  <c r="J29" i="1" s="1"/>
  <c r="I28" i="1"/>
  <c r="L28" i="1" s="1"/>
  <c r="G28" i="1"/>
  <c r="K28" i="1" s="1"/>
  <c r="E28" i="1"/>
  <c r="J28" i="1" s="1"/>
  <c r="I27" i="1"/>
  <c r="L27" i="1" s="1"/>
  <c r="G27" i="1"/>
  <c r="K27" i="1" s="1"/>
  <c r="E27" i="1"/>
  <c r="J27" i="1" s="1"/>
  <c r="I26" i="1"/>
  <c r="L26" i="1" s="1"/>
  <c r="G26" i="1"/>
  <c r="K26" i="1" s="1"/>
  <c r="E26" i="1"/>
  <c r="J26" i="1" s="1"/>
  <c r="I25" i="1"/>
  <c r="L25" i="1" s="1"/>
  <c r="G25" i="1"/>
  <c r="K25" i="1" s="1"/>
  <c r="E25" i="1"/>
  <c r="J25" i="1" s="1"/>
  <c r="I24" i="1"/>
  <c r="L24" i="1" s="1"/>
  <c r="G24" i="1"/>
  <c r="K24" i="1" s="1"/>
  <c r="E24" i="1"/>
  <c r="J24" i="1" s="1"/>
  <c r="I23" i="1"/>
  <c r="L23" i="1" s="1"/>
  <c r="G23" i="1"/>
  <c r="K23" i="1" s="1"/>
  <c r="E23" i="1"/>
  <c r="J23" i="1" s="1"/>
  <c r="I22" i="1"/>
  <c r="L22" i="1" s="1"/>
  <c r="G22" i="1"/>
  <c r="K22" i="1" s="1"/>
  <c r="E22" i="1"/>
  <c r="J22" i="1" s="1"/>
  <c r="I21" i="1"/>
  <c r="L21" i="1" s="1"/>
  <c r="G21" i="1"/>
  <c r="K21" i="1" s="1"/>
  <c r="E21" i="1"/>
  <c r="J21" i="1" s="1"/>
  <c r="I20" i="1"/>
  <c r="L20" i="1" s="1"/>
  <c r="G20" i="1"/>
  <c r="K20" i="1" s="1"/>
  <c r="E20" i="1"/>
  <c r="J20" i="1" s="1"/>
  <c r="I19" i="1"/>
  <c r="L19" i="1" s="1"/>
  <c r="G19" i="1"/>
  <c r="K19" i="1" s="1"/>
  <c r="E19" i="1"/>
  <c r="J19" i="1" s="1"/>
  <c r="I18" i="1"/>
  <c r="L18" i="1" s="1"/>
  <c r="G18" i="1"/>
  <c r="K18" i="1" s="1"/>
  <c r="E18" i="1"/>
  <c r="J18" i="1" s="1"/>
  <c r="I17" i="1"/>
  <c r="L17" i="1" s="1"/>
  <c r="G17" i="1"/>
  <c r="K17" i="1" s="1"/>
  <c r="E17" i="1"/>
  <c r="J17" i="1" s="1"/>
  <c r="I16" i="1"/>
  <c r="L16" i="1" s="1"/>
  <c r="G16" i="1"/>
  <c r="K16" i="1" s="1"/>
  <c r="E16" i="1"/>
  <c r="J16" i="1" s="1"/>
  <c r="I15" i="1"/>
  <c r="L15" i="1" s="1"/>
  <c r="G15" i="1"/>
  <c r="K15" i="1" s="1"/>
  <c r="E15" i="1"/>
  <c r="J15" i="1" s="1"/>
  <c r="I14" i="1"/>
  <c r="L14" i="1" s="1"/>
  <c r="G14" i="1"/>
  <c r="K14" i="1" s="1"/>
  <c r="E14" i="1"/>
  <c r="J14" i="1" s="1"/>
  <c r="I13" i="1"/>
  <c r="L13" i="1" s="1"/>
  <c r="G13" i="1"/>
  <c r="K13" i="1" s="1"/>
  <c r="E13" i="1"/>
  <c r="J13" i="1" s="1"/>
  <c r="I12" i="1"/>
  <c r="L12" i="1" s="1"/>
  <c r="G12" i="1"/>
  <c r="K12" i="1" s="1"/>
  <c r="E12" i="1"/>
  <c r="J12" i="1" s="1"/>
  <c r="I11" i="1"/>
  <c r="L11" i="1" s="1"/>
  <c r="G11" i="1"/>
  <c r="K11" i="1" s="1"/>
  <c r="E11" i="1"/>
  <c r="J11" i="1" s="1"/>
  <c r="I10" i="1"/>
  <c r="L10" i="1" s="1"/>
  <c r="G10" i="1"/>
  <c r="K10" i="1" s="1"/>
  <c r="E10" i="1"/>
  <c r="J10" i="1" s="1"/>
  <c r="I9" i="1"/>
  <c r="L9" i="1" s="1"/>
  <c r="G9" i="1"/>
  <c r="K9" i="1" s="1"/>
  <c r="E9" i="1"/>
  <c r="J9" i="1" s="1"/>
</calcChain>
</file>

<file path=xl/sharedStrings.xml><?xml version="1.0" encoding="utf-8"?>
<sst xmlns="http://schemas.openxmlformats.org/spreadsheetml/2006/main" count="4051" uniqueCount="2222">
  <si>
    <t xml:space="preserve">Part Number </t>
  </si>
  <si>
    <t>Description</t>
  </si>
  <si>
    <t>Product Type</t>
  </si>
  <si>
    <t>BANDSAW BLADES (M42, Profile, WS)</t>
  </si>
  <si>
    <t xml:space="preserve">1-4 Buy </t>
  </si>
  <si>
    <t xml:space="preserve">5+ Buy </t>
  </si>
  <si>
    <t xml:space="preserve">10+ Buy </t>
  </si>
  <si>
    <t>6 x 0.9, 10 x 0.9, 13 x 0.5, 13 x 0.6, 13 x 0.9</t>
  </si>
  <si>
    <t>Bimetal Bandsaw Blades</t>
  </si>
  <si>
    <t>1985</t>
  </si>
  <si>
    <t xml:space="preserve"> </t>
  </si>
  <si>
    <t>20 x 0.9</t>
  </si>
  <si>
    <t>4115</t>
  </si>
  <si>
    <t>27 x 0.9</t>
  </si>
  <si>
    <t>6555</t>
  </si>
  <si>
    <t>6710</t>
  </si>
  <si>
    <t>6860</t>
  </si>
  <si>
    <t>7010</t>
  </si>
  <si>
    <t>7165</t>
  </si>
  <si>
    <t>7315</t>
  </si>
  <si>
    <t>7470</t>
  </si>
  <si>
    <t>7620</t>
  </si>
  <si>
    <t>7775</t>
  </si>
  <si>
    <t>7925</t>
  </si>
  <si>
    <t>8080</t>
  </si>
  <si>
    <t>34 x 1.1</t>
  </si>
  <si>
    <t>41 x 1.3</t>
  </si>
  <si>
    <t>BANDSAW BLADES (Carbon TG, Flexback, Ripper)</t>
  </si>
  <si>
    <t xml:space="preserve">WELDED BLADES - CARBON </t>
  </si>
  <si>
    <t>3mm THIN GAUGE</t>
  </si>
  <si>
    <t>Carbon Bandsaw Blades</t>
  </si>
  <si>
    <t>6,10,13mm THIN GAUGE</t>
  </si>
  <si>
    <t>FLEXBACK</t>
  </si>
  <si>
    <t>3mm</t>
  </si>
  <si>
    <t>6,10,13mm</t>
  </si>
  <si>
    <t>16mm</t>
  </si>
  <si>
    <t>20mm</t>
  </si>
  <si>
    <t>27mm</t>
  </si>
  <si>
    <t xml:space="preserve">RIPPER 37  </t>
  </si>
  <si>
    <t>BANDSAW BLADES (Meat)</t>
  </si>
  <si>
    <t>13mm MEAT</t>
  </si>
  <si>
    <t>Meat Bandsaw Blades</t>
  </si>
  <si>
    <t>16mm MEAT</t>
  </si>
  <si>
    <t>19mm MEAT</t>
  </si>
  <si>
    <t>COLDSAW BLADES</t>
  </si>
  <si>
    <t>BLANKS</t>
  </si>
  <si>
    <t>2002032BLAH</t>
  </si>
  <si>
    <t>200 X 2.0 X 32 BLANK HSS BLADE</t>
  </si>
  <si>
    <t>HSS Blades - Blank</t>
  </si>
  <si>
    <t>2002040BLAH</t>
  </si>
  <si>
    <t>200 X 2.0 X 40 BLANK HSS BLADE</t>
  </si>
  <si>
    <t>2252032BLAH</t>
  </si>
  <si>
    <t>225 X 2.0 X 32 BLANK HSS BLADE</t>
  </si>
  <si>
    <t>2501632BLAH</t>
  </si>
  <si>
    <t>250 X 1.6 X 32 BLANK HSS BLADE</t>
  </si>
  <si>
    <t>2502032BLAH</t>
  </si>
  <si>
    <t>250 X 2.0 X 32 BLANK HSS BLADE</t>
  </si>
  <si>
    <t>2502040BLAH</t>
  </si>
  <si>
    <t>250 X 2.0 X 40 BLANK HSS  BLADE</t>
  </si>
  <si>
    <t>2502525BLAH</t>
  </si>
  <si>
    <t>250 X 2.5 X 25.4 BLANK HSS BLADE</t>
  </si>
  <si>
    <t>2502532BLAH</t>
  </si>
  <si>
    <t>250 X 2.5 X 32 BLANK HSS BLADE</t>
  </si>
  <si>
    <t>2502540BLAH</t>
  </si>
  <si>
    <t>250 X 2.5 X 40 BLANK HSS BLADE</t>
  </si>
  <si>
    <t>2751632BLAH</t>
  </si>
  <si>
    <t>275 X 1.6 X 32 BLANK HSS BLADE</t>
  </si>
  <si>
    <t>2751640BLAH</t>
  </si>
  <si>
    <t>275 X 1.6 X 40 BLANK HSS BLADE</t>
  </si>
  <si>
    <t>2752040BLAH</t>
  </si>
  <si>
    <t>275 X 2.0 X 40 BLANK HSS BLADE</t>
  </si>
  <si>
    <t>2752532BLAH</t>
  </si>
  <si>
    <t>275 X 2.5 X 32 BLANK HSS BLADE</t>
  </si>
  <si>
    <t>2752540BLAH</t>
  </si>
  <si>
    <t>275 X 2.5 X 40 BLANK HSS BLADE</t>
  </si>
  <si>
    <t>2753040BLAH</t>
  </si>
  <si>
    <t>275 X 3.0 X 40 BLANK HSS BLADE</t>
  </si>
  <si>
    <t>3002032BLAH</t>
  </si>
  <si>
    <t>300 X 2.0 X 32 BLANK HSS BLADE</t>
  </si>
  <si>
    <t>3002532BLAH</t>
  </si>
  <si>
    <t>300 X 2.5 X 32 BLANK HSS BLADE</t>
  </si>
  <si>
    <t>3002538BLAH</t>
  </si>
  <si>
    <t>300 X 2.5 X 38 BLANK HSS BLADE</t>
  </si>
  <si>
    <t>3002540BLAH</t>
  </si>
  <si>
    <t>300 X 2.5 X 40 BLANK HSS BLADE</t>
  </si>
  <si>
    <t>3003040BLAH</t>
  </si>
  <si>
    <t>300 X 3.0 X 40 BLANK HSS BLADE</t>
  </si>
  <si>
    <t>3152532BLAH</t>
  </si>
  <si>
    <t>315 X 2.5 X 32 BLANK HSS BLADE</t>
  </si>
  <si>
    <t>3152540BLAH</t>
  </si>
  <si>
    <t>315 X 2.5 X 40 BLANK HSS BLADE</t>
  </si>
  <si>
    <t>3252540BLAH</t>
  </si>
  <si>
    <t>325 X 2.5 X 40 BLANK HSS BLADE</t>
  </si>
  <si>
    <t>3253040BLAH</t>
  </si>
  <si>
    <t>325 X 3.0 X 40 BLANK HSS BLADE</t>
  </si>
  <si>
    <t>3502532BLAH</t>
  </si>
  <si>
    <t>350 X 2.5 X 32 BLANK HSS BLADE</t>
  </si>
  <si>
    <t>3502540BLAH</t>
  </si>
  <si>
    <t>350 X 2.5 X 40 BLANK HSS BLADE</t>
  </si>
  <si>
    <t>3503032BLAH</t>
  </si>
  <si>
    <t>350 X 3.0 X 32 BLANK HSS BLADE</t>
  </si>
  <si>
    <t>3503040BLAH</t>
  </si>
  <si>
    <t>350 X 3.0 X 40 BLANK HSS BLADE</t>
  </si>
  <si>
    <t>3703032BLAH</t>
  </si>
  <si>
    <t>370 X 3.0 X 32 BLANK HSS BLADE</t>
  </si>
  <si>
    <t>3703050BLAH</t>
  </si>
  <si>
    <t>370 X 3.0 X 50 BLANK HSS BLADE</t>
  </si>
  <si>
    <t>4003040BLAH</t>
  </si>
  <si>
    <t>400 X 3.0 X 40 BLANK HSS BLADE</t>
  </si>
  <si>
    <t>4003050BLAH</t>
  </si>
  <si>
    <t>400 X 3.0 X 50 BLANK HSS BLADE</t>
  </si>
  <si>
    <t>4253040BLAH</t>
  </si>
  <si>
    <t>425 X 3.0 X 40 BLANK HSS BLADE</t>
  </si>
  <si>
    <t>4253540BLAH</t>
  </si>
  <si>
    <t>425 X 3.5 X 40 BLANK HSS BLADE</t>
  </si>
  <si>
    <t>4503040BLAH</t>
  </si>
  <si>
    <t>450 X 3.0 X 40 BLANK HSS BLADE</t>
  </si>
  <si>
    <t>4503540BLAH</t>
  </si>
  <si>
    <t>450 X 3.5 X 40 BLANK HSS BLADE</t>
  </si>
  <si>
    <t>4504050BLAH</t>
  </si>
  <si>
    <t>450 X 4.0 X 50 BLANK HSS BLADE</t>
  </si>
  <si>
    <t>5004040BLAH</t>
  </si>
  <si>
    <t>500 X 4.0 X 40 BLANK HSS BLADE</t>
  </si>
  <si>
    <t>TOOTHED</t>
  </si>
  <si>
    <t>2002032---H</t>
  </si>
  <si>
    <t xml:space="preserve">200 X 2.0 X 32 </t>
  </si>
  <si>
    <t>HSS Blades - Toothed</t>
  </si>
  <si>
    <t>2002040---H</t>
  </si>
  <si>
    <t xml:space="preserve">200 X 2.0 X 40 </t>
  </si>
  <si>
    <t>2252032---H</t>
  </si>
  <si>
    <t xml:space="preserve">225 X 2.0 X 32 </t>
  </si>
  <si>
    <t>2501632---H</t>
  </si>
  <si>
    <t xml:space="preserve">250 X 1.6 X 32 </t>
  </si>
  <si>
    <t>2502032---H</t>
  </si>
  <si>
    <t xml:space="preserve">250 X 2.0 X 32 </t>
  </si>
  <si>
    <t>2502040---H</t>
  </si>
  <si>
    <t xml:space="preserve">250 X 2.0 X 40 </t>
  </si>
  <si>
    <t>2502525---H</t>
  </si>
  <si>
    <t xml:space="preserve">250 X 2.5 X 25.4 </t>
  </si>
  <si>
    <t>2502532---H</t>
  </si>
  <si>
    <t xml:space="preserve">250 X 2.5 X 32 </t>
  </si>
  <si>
    <t>2502540---H</t>
  </si>
  <si>
    <t xml:space="preserve">250 X 2.5 X 40 </t>
  </si>
  <si>
    <t>2751640---H</t>
  </si>
  <si>
    <t xml:space="preserve">275 X 1.6 X 40 </t>
  </si>
  <si>
    <t>2752040---H</t>
  </si>
  <si>
    <t xml:space="preserve">275 X 2.0 X 40 </t>
  </si>
  <si>
    <t>2752532---H</t>
  </si>
  <si>
    <t xml:space="preserve">275 X 2.5 X 32 </t>
  </si>
  <si>
    <t>2752540---H</t>
  </si>
  <si>
    <t xml:space="preserve">275 X 2.5 X 40 </t>
  </si>
  <si>
    <t>2753040---H</t>
  </si>
  <si>
    <t xml:space="preserve">275 X 3.0 X 40 </t>
  </si>
  <si>
    <t>3002032---H</t>
  </si>
  <si>
    <t>300 X 2.0 X 32</t>
  </si>
  <si>
    <t>3002038---H</t>
  </si>
  <si>
    <t xml:space="preserve">300 X 2.0 X 38 </t>
  </si>
  <si>
    <t>3002040---H</t>
  </si>
  <si>
    <t xml:space="preserve">300 X 2.0 X 40 </t>
  </si>
  <si>
    <t>3002532---H</t>
  </si>
  <si>
    <t xml:space="preserve">300 X 2.5 X 32 </t>
  </si>
  <si>
    <t>3002538---H</t>
  </si>
  <si>
    <t xml:space="preserve">300 X 2.5 X 38 </t>
  </si>
  <si>
    <t>3002540---H</t>
  </si>
  <si>
    <t xml:space="preserve">300 X 2.5 X 40 </t>
  </si>
  <si>
    <t>3003040---H</t>
  </si>
  <si>
    <t xml:space="preserve">300 X 3.0 X 40 </t>
  </si>
  <si>
    <t>3152532---H</t>
  </si>
  <si>
    <t xml:space="preserve">315 X 2.5 X 32 </t>
  </si>
  <si>
    <t>3152540---H</t>
  </si>
  <si>
    <t xml:space="preserve">315 X 2.5 X 40 </t>
  </si>
  <si>
    <t>3252540---H</t>
  </si>
  <si>
    <t xml:space="preserve">325 X 2.5 X 40 </t>
  </si>
  <si>
    <t>3253040---H</t>
  </si>
  <si>
    <t xml:space="preserve">325 X 3.0 X 40 </t>
  </si>
  <si>
    <t>3502532---H</t>
  </si>
  <si>
    <t xml:space="preserve">350 X 2.5 X 32 </t>
  </si>
  <si>
    <t>3502540---H</t>
  </si>
  <si>
    <t xml:space="preserve">350 X 2.5 X 40 </t>
  </si>
  <si>
    <t>3503032---H</t>
  </si>
  <si>
    <t xml:space="preserve">350 X 3.0 X 32 </t>
  </si>
  <si>
    <t>3503040---H</t>
  </si>
  <si>
    <t xml:space="preserve">350 X 3.0 X 40 </t>
  </si>
  <si>
    <t>3703032---H</t>
  </si>
  <si>
    <t xml:space="preserve">370 X 3.0 X 32 </t>
  </si>
  <si>
    <t>3703050---H</t>
  </si>
  <si>
    <t xml:space="preserve">370 X 3.0 X 50 </t>
  </si>
  <si>
    <t>4003040---H</t>
  </si>
  <si>
    <t xml:space="preserve">400 X 3.0 X 40 </t>
  </si>
  <si>
    <t>4003050---H</t>
  </si>
  <si>
    <t xml:space="preserve">400 X 3.0 X 50 </t>
  </si>
  <si>
    <t>4253040---H</t>
  </si>
  <si>
    <t xml:space="preserve">425 X 3.0 X 40 </t>
  </si>
  <si>
    <t>4253540---H</t>
  </si>
  <si>
    <t xml:space="preserve">425 X 3.5 X 40 </t>
  </si>
  <si>
    <t>4503040---H</t>
  </si>
  <si>
    <t xml:space="preserve">450 X 3.0 X 40 </t>
  </si>
  <si>
    <t>4503540---H</t>
  </si>
  <si>
    <t xml:space="preserve">450 X 3.5 X 40 </t>
  </si>
  <si>
    <t>5004040---H</t>
  </si>
  <si>
    <t xml:space="preserve">500 X 4.0 X 40 </t>
  </si>
  <si>
    <t>HSS COBALT (HSS-E)</t>
  </si>
  <si>
    <t>2502032BLAC</t>
  </si>
  <si>
    <t>250 X 2.0 X 32 BLANK HSS-E COBALT BLADE</t>
  </si>
  <si>
    <t>2502040BLAC</t>
  </si>
  <si>
    <t>250 X 2.0 X 40 BLANK HSS-E COBALT BLADE</t>
  </si>
  <si>
    <t>2502532BLAC</t>
  </si>
  <si>
    <t>250 X 2.5 X 32 BLANK HSS-E COBALT BLADE</t>
  </si>
  <si>
    <t>2502540BLAC</t>
  </si>
  <si>
    <t>250 X 2.5 X 40 BLANK HSS-E COBALT BLADE</t>
  </si>
  <si>
    <t>2752532BLAC</t>
  </si>
  <si>
    <t>275 X 2.5 X 32 BLANK HSS-E COBALT BLADE</t>
  </si>
  <si>
    <t>2752540BLAC</t>
  </si>
  <si>
    <t>275 X 2.5 X 40 BLANK HSS-E COBALT BLADE</t>
  </si>
  <si>
    <t>3002532BLAC</t>
  </si>
  <si>
    <t>300 X 2.5 X 32 BLANK HSS-E COBALT BLADE</t>
  </si>
  <si>
    <t>3002538BLAC</t>
  </si>
  <si>
    <t>300 X 2.5 X 38 BLANK HSS-E COBALT BLADE</t>
  </si>
  <si>
    <t>3002540BLAC</t>
  </si>
  <si>
    <t>300 X 2.5 X 40 BLANK HSS-E COBALT BLADE</t>
  </si>
  <si>
    <t>3152532BLAC</t>
  </si>
  <si>
    <t>315 X 2.5 X 32 BLANK HSS-E COBALT BLADE</t>
  </si>
  <si>
    <t>3152540BLAC</t>
  </si>
  <si>
    <t>315 X 2.5 X 40 BLANK HSS-E COBALT BLADE</t>
  </si>
  <si>
    <t>3252540BLAC</t>
  </si>
  <si>
    <t>325 X 2.5 X 40 BLANK HSS-E COBALT BLADE</t>
  </si>
  <si>
    <t>3502532BLAC</t>
  </si>
  <si>
    <t>350 X 2.5 X 32 BLANK HSS-E COBALT BLADE</t>
  </si>
  <si>
    <t>3502540BLAC</t>
  </si>
  <si>
    <t>350 X 2.5 X 40 BLANK HSS-E COBALT BLADE</t>
  </si>
  <si>
    <t>3703032BLAC</t>
  </si>
  <si>
    <t>370 X 3.0 X 32 BLANK HSS-E COBALT BLADE</t>
  </si>
  <si>
    <t>4003040BLAC</t>
  </si>
  <si>
    <t>400 X 3.0 X 40 BLANK HSS-E COBALT BLADE</t>
  </si>
  <si>
    <t>2502032---C</t>
  </si>
  <si>
    <t>2502040---C</t>
  </si>
  <si>
    <t>2502532---C</t>
  </si>
  <si>
    <t>2502540---C</t>
  </si>
  <si>
    <t>2752532---C</t>
  </si>
  <si>
    <t>2752540---C</t>
  </si>
  <si>
    <t>3002532---C</t>
  </si>
  <si>
    <t>3002538---C</t>
  </si>
  <si>
    <t>3002540---C</t>
  </si>
  <si>
    <t>3152532---C</t>
  </si>
  <si>
    <t>3152540---C</t>
  </si>
  <si>
    <t>3252540---C</t>
  </si>
  <si>
    <t>3502532---C</t>
  </si>
  <si>
    <t>3502540---C</t>
  </si>
  <si>
    <t>3703032---C</t>
  </si>
  <si>
    <t>4003040---C</t>
  </si>
  <si>
    <t>HSS COLBALT GF BLADES</t>
  </si>
  <si>
    <t>0631616064C</t>
  </si>
  <si>
    <t>63 X 1.6 X 16 64Z HSS-E BLADE</t>
  </si>
  <si>
    <t>0631616072C</t>
  </si>
  <si>
    <t>63 X 1.6 X 16 72Z HSS-E BLADE</t>
  </si>
  <si>
    <t>0631616096C</t>
  </si>
  <si>
    <t>63 X 1.6 X 16 96Z HSS-E BLADE</t>
  </si>
  <si>
    <t>0681616044C</t>
  </si>
  <si>
    <t>68 X 1.6 X 16 44Z HSS-E   BLADE</t>
  </si>
  <si>
    <t>0681616072C</t>
  </si>
  <si>
    <t>68 X 1.6 X 16 72Z HSS-E GF BLADE</t>
  </si>
  <si>
    <t>0751616044C</t>
  </si>
  <si>
    <t>75 X 1.6 X 16 44Z HSS-E BLADE</t>
  </si>
  <si>
    <t>0801616084C</t>
  </si>
  <si>
    <t>80 X 1.6 X 16 84Z HSS-E BLADE</t>
  </si>
  <si>
    <t>1001616040C</t>
  </si>
  <si>
    <t>100 X 1.6 X 16 40Z HSS-E BLADE</t>
  </si>
  <si>
    <t>1001616108C</t>
  </si>
  <si>
    <t>100 X 1.6 X 16 108Z HSS-E BLADE</t>
  </si>
  <si>
    <t>1002016044C</t>
  </si>
  <si>
    <t>100 X 2.0 X 16 44Z HSS-E BLADE</t>
  </si>
  <si>
    <t>1251622128C</t>
  </si>
  <si>
    <t>125 X 1.6 X 22 128Z HSS-E BLADE</t>
  </si>
  <si>
    <t>1401616150C</t>
  </si>
  <si>
    <t>140 X 1.6 X 16 150Z HSS-E BLADE</t>
  </si>
  <si>
    <t>FRICTION SAW BLADES</t>
  </si>
  <si>
    <t>5204040300F</t>
  </si>
  <si>
    <t>520 x 4.0 x 40 300Z FRICTION BLADE</t>
  </si>
  <si>
    <t>Friction Saws</t>
  </si>
  <si>
    <t>6004040300F</t>
  </si>
  <si>
    <t>600 X 4.0 X 40 300Z FRICTION BLADE</t>
  </si>
  <si>
    <t>COOLANTS</t>
  </si>
  <si>
    <t>84405-360</t>
  </si>
  <si>
    <t>XDP405 MULTI-PURPOSE LUBRICANT - 360G</t>
  </si>
  <si>
    <t>Coolants</t>
  </si>
  <si>
    <t>84405-360.12</t>
  </si>
  <si>
    <t>XDP405 MULTI-PURPOSE LUBRICANT 12PK</t>
  </si>
  <si>
    <t>84405-5</t>
  </si>
  <si>
    <t>XDP405 MULTI-PURPOSE LUBRICANT - 5 LITRES</t>
  </si>
  <si>
    <t>84405-10.EB</t>
  </si>
  <si>
    <t>XDP405 MULTI-PURPOSE LUBRICANT - 10L EBOX</t>
  </si>
  <si>
    <t>84405-20</t>
  </si>
  <si>
    <t>XDP405 MULTI-PURPOSE LUBRICANT - 20 LITRES</t>
  </si>
  <si>
    <t>84705-350</t>
  </si>
  <si>
    <t>XDP705 SPRAY FOOD GRADE OIL - 350G</t>
  </si>
  <si>
    <t>84705-350.12</t>
  </si>
  <si>
    <t>XDP705 SPRAY FOOD GRADE OIL 12PK</t>
  </si>
  <si>
    <t>82705-1</t>
  </si>
  <si>
    <t>XDP705 FOOD GRADE OIL 1L</t>
  </si>
  <si>
    <t>82705-5</t>
  </si>
  <si>
    <t>XDP705 FOOD GRADE OIL 5L</t>
  </si>
  <si>
    <t>82705-10.EB</t>
  </si>
  <si>
    <t>XDP705 FOOD GRADE OIL - 10L EBOX</t>
  </si>
  <si>
    <t>82705-20</t>
  </si>
  <si>
    <t>XDP705 FOOD GRADE OIL 20L</t>
  </si>
  <si>
    <t>82905-1</t>
  </si>
  <si>
    <t>XDP905 FLUID - 1L</t>
  </si>
  <si>
    <t>82905-10.EB</t>
  </si>
  <si>
    <t>XDP905 FLUID - CUTTING OIL HEAVY DUTY - 10L EBOX</t>
  </si>
  <si>
    <t>82905-20</t>
  </si>
  <si>
    <t>XDP905 OIL - 20L</t>
  </si>
  <si>
    <t>82905-205</t>
  </si>
  <si>
    <t>XDP905 OIL - 205L</t>
  </si>
  <si>
    <t>82905-5</t>
  </si>
  <si>
    <t>XDP905 OIL - 5L</t>
  </si>
  <si>
    <t>82905-500</t>
  </si>
  <si>
    <t>XDP905 FLUID - 500ML</t>
  </si>
  <si>
    <t>83905-200</t>
  </si>
  <si>
    <t>XDP905 PASTE - 200G TUBE WITH BRUSH</t>
  </si>
  <si>
    <t>83905-200.12</t>
  </si>
  <si>
    <t>XDP905 PASTE - TUBE WITH BRUSH 12PK</t>
  </si>
  <si>
    <t>83905-500</t>
  </si>
  <si>
    <t>XDP905 PASTE - 500G TUB</t>
  </si>
  <si>
    <t>84905-300</t>
  </si>
  <si>
    <t>XDP905 SPRAY - 300G</t>
  </si>
  <si>
    <t>85905-440</t>
  </si>
  <si>
    <t>XDP905 CUTTING FOAM - 440G</t>
  </si>
  <si>
    <t>82900-1</t>
  </si>
  <si>
    <t>XDP900 NEAT CUTTING/THREADING OIL - 1 LITRE</t>
  </si>
  <si>
    <t>82900-5</t>
  </si>
  <si>
    <t>XDP900 NEAT CUTTING/THREADING OIL - 5 LITRES</t>
  </si>
  <si>
    <t>82900-10.EB</t>
  </si>
  <si>
    <t>XDP900 NEAT CUTTING/THREADING OIL - 10L EBOX</t>
  </si>
  <si>
    <t>82900-20</t>
  </si>
  <si>
    <t>XDP900 NEAT CUTTING/THREADING OIL - 20 LITRES</t>
  </si>
  <si>
    <t>81110-10</t>
  </si>
  <si>
    <t>XDP1000 CUTTING FLUID - 1 LITRE (10 PACK)</t>
  </si>
  <si>
    <t>81110-5</t>
  </si>
  <si>
    <t>XDP1000 CUTTING FLUID - 5 LITRES</t>
  </si>
  <si>
    <t>81110-10.EB</t>
  </si>
  <si>
    <t>XDP1000 CUTTING FLUID - 10L EBOX</t>
  </si>
  <si>
    <t>81110-20</t>
  </si>
  <si>
    <t>XDP1000 CUTTING FLUID - 20 LITRES</t>
  </si>
  <si>
    <t>81110-205</t>
  </si>
  <si>
    <t>XDP1000 CUTTING FLUID - 205 LITRES</t>
  </si>
  <si>
    <t>81210-10</t>
  </si>
  <si>
    <t>XDP2000 CUTTING FLUID - 1 LITRE (10 PACK)</t>
  </si>
  <si>
    <t>81210-5</t>
  </si>
  <si>
    <t>XDP2000 CUTTING FLUID - 5 LITRES</t>
  </si>
  <si>
    <t>81210-10.EB</t>
  </si>
  <si>
    <t>XDP2000 CUTTING FLUID - 10L EBOX</t>
  </si>
  <si>
    <t>81210-20</t>
  </si>
  <si>
    <t>XDP2000 CUTTING FLUID - 20 LITRES</t>
  </si>
  <si>
    <t>81210-205</t>
  </si>
  <si>
    <t>XDP2000 CUTTING FLUID - 205 LITRES</t>
  </si>
  <si>
    <t>81310-5</t>
  </si>
  <si>
    <t>XDP3000 CUTTING FLUID - 5 LITRES</t>
  </si>
  <si>
    <t>81310-10.EB</t>
  </si>
  <si>
    <t>XDP3000 CUTTING FLUID - 10L EBOX</t>
  </si>
  <si>
    <t>81310-20</t>
  </si>
  <si>
    <t>XDP3000 CUTTING FLUID - 20 LITRES</t>
  </si>
  <si>
    <t>81310-205</t>
  </si>
  <si>
    <t>XDP3000 CUTTING FLUID - 205 LITRES</t>
  </si>
  <si>
    <t>81320-5</t>
  </si>
  <si>
    <t>XDP3200 CUTTING FLUID - 5 LITRES</t>
  </si>
  <si>
    <t>81320-10.EB</t>
  </si>
  <si>
    <t>XDP3200 CUTTING FLUID - 10L EBOX</t>
  </si>
  <si>
    <t>81320-20</t>
  </si>
  <si>
    <t>XDP 3200 CUTTING FLUID - 20 LITRES</t>
  </si>
  <si>
    <t>81320-205</t>
  </si>
  <si>
    <t>XDP 3200 CUTTING FLUID - 205 LITRES</t>
  </si>
  <si>
    <t>81340-5</t>
  </si>
  <si>
    <t>XDP3400 GRINDING FLUID -  5 LITRES</t>
  </si>
  <si>
    <t>81340-20</t>
  </si>
  <si>
    <t>XDP3400 GRINDING FLUID -  20 LITRES</t>
  </si>
  <si>
    <t>81340-205</t>
  </si>
  <si>
    <t>XDP3400 GRINDING FLUID -  205 LITRES</t>
  </si>
  <si>
    <t>81350-5</t>
  </si>
  <si>
    <t>XDP3500 CARBIDE GRINDING FLUID -  5 LITRES</t>
  </si>
  <si>
    <t>81350-10.EB</t>
  </si>
  <si>
    <t>XDP3500 CARBIDE GRINDING FLUID - 10L EBOX</t>
  </si>
  <si>
    <t>81350-20</t>
  </si>
  <si>
    <t>XDP3500 CARBIDE GRINDING FLUID -  20 LITRES</t>
  </si>
  <si>
    <t>81350-205</t>
  </si>
  <si>
    <t>XDP3500 CARBIDE GRINDING FLUID -  205 LITRES</t>
  </si>
  <si>
    <t>81380-5</t>
  </si>
  <si>
    <t>XDP3800 CUTTING FLUID - 5 LITRES</t>
  </si>
  <si>
    <t>81380-10.EB</t>
  </si>
  <si>
    <t>XDP3800 SYNTHETIC CUTTING FLUID -  10L EBOX</t>
  </si>
  <si>
    <t>81380-20</t>
  </si>
  <si>
    <t>XDP3800 CUTTING FLUID - 20 LITRES</t>
  </si>
  <si>
    <t>81380-205</t>
  </si>
  <si>
    <t>XDP3800 CUTTING FLUID - 205 LITRES</t>
  </si>
  <si>
    <t>81445-5</t>
  </si>
  <si>
    <t>XDP4500 PLASMA PROTECTOR - 5 LITRES</t>
  </si>
  <si>
    <t>81445-10.EB</t>
  </si>
  <si>
    <t>XDP4500 PLASMA PROTECTOR - 10L EBOX</t>
  </si>
  <si>
    <t>81445-20</t>
  </si>
  <si>
    <t>XDP4500 PLASMA PROTECTOR - 20 LITRES</t>
  </si>
  <si>
    <t>81445-205</t>
  </si>
  <si>
    <t>XDP4500 PLASMA PROTECTOR - 205 LITRES</t>
  </si>
  <si>
    <t>82410-5</t>
  </si>
  <si>
    <t>XDP116 ALU SPRAY MIST - 5 LITRES</t>
  </si>
  <si>
    <t>82410-10.EB</t>
  </si>
  <si>
    <t>XDP116 ALU SPRAY MIST - 10L EBOX</t>
  </si>
  <si>
    <t>82410-20</t>
  </si>
  <si>
    <t>XDP116 ALU SPRAY MIST - 20 LITRES</t>
  </si>
  <si>
    <t>82410-205</t>
  </si>
  <si>
    <t>XDP116 ALU SPRAY MIST - 205 LITRES</t>
  </si>
  <si>
    <t>82420-5</t>
  </si>
  <si>
    <t>XDP118 STEEL SPRAY MIST - 5 LITRES</t>
  </si>
  <si>
    <t>82420-10.EB</t>
  </si>
  <si>
    <t>XDP118 STEEL SPRAY MIST - 10L EBOX</t>
  </si>
  <si>
    <t>82420-20</t>
  </si>
  <si>
    <t>XDP118 STEEL SPRAY MIST - 20 LITRES</t>
  </si>
  <si>
    <t>82420-205</t>
  </si>
  <si>
    <t>XDP118 STEEL SPRAY MIST - 205 LITRES</t>
  </si>
  <si>
    <t>82430-5</t>
  </si>
  <si>
    <t>XDP120 MQL OIL - 5 LITRES</t>
  </si>
  <si>
    <t>82430-10.EB</t>
  </si>
  <si>
    <t>XDP120 MQL OIL - 10L EBOX</t>
  </si>
  <si>
    <t>82430-20</t>
  </si>
  <si>
    <t>XDP120 MQL OIL - 20 LITRES</t>
  </si>
  <si>
    <t>82430-205</t>
  </si>
  <si>
    <t>XDP120 MQL OIL - 205 LITRES</t>
  </si>
  <si>
    <t>84620-1</t>
  </si>
  <si>
    <t>XDP SYSTEM CLEANER - 1 LITRE</t>
  </si>
  <si>
    <t>82310-5</t>
  </si>
  <si>
    <t>XDP135 GRINDING OIL - 5 LITRES</t>
  </si>
  <si>
    <t>82310-10.EB</t>
  </si>
  <si>
    <t>XDP135 MACHINING OIL - 10L EBOX</t>
  </si>
  <si>
    <t>82310-20</t>
  </si>
  <si>
    <t>XDP135 GRINDING OIL - 20 LITRES</t>
  </si>
  <si>
    <t>82310-205</t>
  </si>
  <si>
    <t>XDP135 GRINDING OIL - 205 LITRES</t>
  </si>
  <si>
    <t>82360-1</t>
  </si>
  <si>
    <t>XDP139 SPRAY OIL TCT ALU - 1 LITRE</t>
  </si>
  <si>
    <t>82360-5</t>
  </si>
  <si>
    <t>XDP139 SPRAY OIL TCT ALU - 5 LITRE</t>
  </si>
  <si>
    <t>82360-20</t>
  </si>
  <si>
    <t>XDP139 SPRAY OIL TCT ALU - 20 LITRE</t>
  </si>
  <si>
    <t>82360-205</t>
  </si>
  <si>
    <t>XDP139 SPRAY OIL TCT ALU - 205 LITRE</t>
  </si>
  <si>
    <t>82325-10.EB</t>
  </si>
  <si>
    <t>XDP605 GRINDING OIL - 10L EBOX</t>
  </si>
  <si>
    <t>82325-20</t>
  </si>
  <si>
    <t>XDP605 GRINDING OIL 20L</t>
  </si>
  <si>
    <t>82325-200</t>
  </si>
  <si>
    <t>XDP605 GRINDING OIL 205L</t>
  </si>
  <si>
    <t>82825-500</t>
  </si>
  <si>
    <t>XDP825 GRINDING OIL - 500ML</t>
  </si>
  <si>
    <t>82320-5</t>
  </si>
  <si>
    <t>XDP915 GRINDING OIL - 5 LITRES</t>
  </si>
  <si>
    <t>82320-20</t>
  </si>
  <si>
    <t>XDP915 GRINDING OIL - 20 LITRES</t>
  </si>
  <si>
    <t>82320-205</t>
  </si>
  <si>
    <t>XDP915 GRINDING OIL - 205 LITRES</t>
  </si>
  <si>
    <t>84132-10.EB</t>
  </si>
  <si>
    <t>XDP-SW32 SLIDE WAY OIL - 10L EBOX</t>
  </si>
  <si>
    <t>84132-20</t>
  </si>
  <si>
    <t>XDP-SW32 SLIDE WAY OIL - 20 LITRES</t>
  </si>
  <si>
    <t>84168-10.EB</t>
  </si>
  <si>
    <t>XDP-SW68 SLIDE WAY OIL - 10L EBOX</t>
  </si>
  <si>
    <t>84168-20</t>
  </si>
  <si>
    <t>XDP-SW68 SLIDE WAY OIL - 20 LITRES</t>
  </si>
  <si>
    <t>841220-10.EB</t>
  </si>
  <si>
    <t>XDP-SW220 SLIDE WAY OIL - 10L EBOX</t>
  </si>
  <si>
    <t>841220-20</t>
  </si>
  <si>
    <t>XDP-SW220 SLIDE WAY OIL - 20 LITRES</t>
  </si>
  <si>
    <t>82132-5</t>
  </si>
  <si>
    <t>XDP-HYD32 - 5 LITRES</t>
  </si>
  <si>
    <t>82132-10.EB</t>
  </si>
  <si>
    <t>XDP-HYD32 HYDRAULIC OIL - 10L EBOX</t>
  </si>
  <si>
    <t>82132-20</t>
  </si>
  <si>
    <t>XDP-HYD32 - 20 LITRES</t>
  </si>
  <si>
    <t>82132-205</t>
  </si>
  <si>
    <t>XDP-HYD32 - 205 LITRES</t>
  </si>
  <si>
    <t>82146-5</t>
  </si>
  <si>
    <t>XDP-HYD46 - 5 LITRES</t>
  </si>
  <si>
    <t>82146-10.EB</t>
  </si>
  <si>
    <t>XDP-HYD46 HYDRAULIC OIL - 10L EBOX</t>
  </si>
  <si>
    <t>82146-20</t>
  </si>
  <si>
    <t>XDP-HYD46 - 20 LITRES</t>
  </si>
  <si>
    <t>82146-205</t>
  </si>
  <si>
    <t>XDP-HYD46 - 205 LITRES</t>
  </si>
  <si>
    <t>82150-5</t>
  </si>
  <si>
    <t>XDP-HYD68 - 5 LITRES</t>
  </si>
  <si>
    <t>82150-10.EB</t>
  </si>
  <si>
    <t>XDP-HYD68 HYDRAULIC OIL - 10L EBOX</t>
  </si>
  <si>
    <t>82150-20</t>
  </si>
  <si>
    <t>XDP-HYD68 - 20 LITRES</t>
  </si>
  <si>
    <t>82150-205</t>
  </si>
  <si>
    <t>XDP-HYD68 - 205 LITRES</t>
  </si>
  <si>
    <t>84120-150</t>
  </si>
  <si>
    <t>XDP-ALUBE ALUMINIUM LUBE STICK - 150GM</t>
  </si>
  <si>
    <t>84120-1000</t>
  </si>
  <si>
    <t>XDP-ALUBE ALUMINIUM LUBE STICK - 1 KG</t>
  </si>
  <si>
    <t>84610-5D</t>
  </si>
  <si>
    <t>HAND CLEANER - 5 LITRES</t>
  </si>
  <si>
    <t>84610-20</t>
  </si>
  <si>
    <t>HAND CLEANER - 20 LITRES</t>
  </si>
  <si>
    <t>84610-205P</t>
  </si>
  <si>
    <t>STANDARD ROTARY BARREL OIL PUMP - 205LITRE</t>
  </si>
  <si>
    <t>84610-205M</t>
  </si>
  <si>
    <t>STANDARD EMUSION MIXER - 205LITRE</t>
  </si>
  <si>
    <t>8501024V</t>
  </si>
  <si>
    <t>EXCISION MICRO LUBRICATION SYSTEM MQL 1.5L UNIT SINGLE OUTLET 24V</t>
  </si>
  <si>
    <t>85590</t>
  </si>
  <si>
    <t>EXCISION TANK FILTER XDP 90F 240V</t>
  </si>
  <si>
    <t>MAG BASE DRILLS</t>
  </si>
  <si>
    <t>EXCISION MAGNETIC BASED DRILLS &amp; ACCESSORIES</t>
  </si>
  <si>
    <t>18400</t>
  </si>
  <si>
    <t xml:space="preserve">EXCISION EMB 35 </t>
  </si>
  <si>
    <t>Mag Base Drills</t>
  </si>
  <si>
    <t>18500</t>
  </si>
  <si>
    <t>EXCISION EM40</t>
  </si>
  <si>
    <t>18801</t>
  </si>
  <si>
    <t>EXCISION MAGNEX DRILL 40</t>
  </si>
  <si>
    <t>18510</t>
  </si>
  <si>
    <t>EXCISION EM50</t>
  </si>
  <si>
    <t>18850</t>
  </si>
  <si>
    <t>EXCISION MAGNEX DRILL 50</t>
  </si>
  <si>
    <t>18611</t>
  </si>
  <si>
    <t>EXCISION 50 RL-E</t>
  </si>
  <si>
    <t>18625</t>
  </si>
  <si>
    <t>EXCISION EM80</t>
  </si>
  <si>
    <t>18626</t>
  </si>
  <si>
    <t>EXCISION 80 RL-E</t>
  </si>
  <si>
    <t>18634</t>
  </si>
  <si>
    <t>EXCISION 100 RL-E</t>
  </si>
  <si>
    <t>18628</t>
  </si>
  <si>
    <t>EXCISION MAGNEX DRILL 100 RL-E</t>
  </si>
  <si>
    <t>18645</t>
  </si>
  <si>
    <t>EXCISION EM130</t>
  </si>
  <si>
    <t>18710</t>
  </si>
  <si>
    <t>EXCISION V32 230 VOLT MAG DRILL</t>
  </si>
  <si>
    <t>18652</t>
  </si>
  <si>
    <t>TAPPING CHUCK M3-M12</t>
  </si>
  <si>
    <t xml:space="preserve">Mag Base Drill Accessories </t>
  </si>
  <si>
    <t>18653</t>
  </si>
  <si>
    <t>TAPPING CHUCK M10-M20</t>
  </si>
  <si>
    <t>14950</t>
  </si>
  <si>
    <t>SAFETY STRAP</t>
  </si>
  <si>
    <t>18003</t>
  </si>
  <si>
    <t>AMK-2 TOOL HOLDER</t>
  </si>
  <si>
    <t>18003-L</t>
  </si>
  <si>
    <t>AMK2L ARBOR</t>
  </si>
  <si>
    <t>18008</t>
  </si>
  <si>
    <t>DRILL CHUCK</t>
  </si>
  <si>
    <t>18019</t>
  </si>
  <si>
    <t>PIPE CLAMPING ATTATCHMENT 80-300MM</t>
  </si>
  <si>
    <t>18020</t>
  </si>
  <si>
    <t>PIPE CLAMPING ATTACHMENT 80-900MM</t>
  </si>
  <si>
    <t>18021</t>
  </si>
  <si>
    <t>PIPE CLAMPING ATTACHMENT 2 TENSION BELT 80-900MM</t>
  </si>
  <si>
    <t>18022</t>
  </si>
  <si>
    <t>PIPE CLAMPING ATTACHMENT 2 TENSION BELT 80-2000MM</t>
  </si>
  <si>
    <t>18023</t>
  </si>
  <si>
    <t>MT3 - MT2 SLEEVE</t>
  </si>
  <si>
    <t>18025</t>
  </si>
  <si>
    <t>AMK-3 TOOL HOLDER</t>
  </si>
  <si>
    <t>18103</t>
  </si>
  <si>
    <t>COOLANT BOTTLE TO SUIT V32</t>
  </si>
  <si>
    <t>18104</t>
  </si>
  <si>
    <t>COOLANT UNIT</t>
  </si>
  <si>
    <t>18106</t>
  </si>
  <si>
    <t>KEYED DRILL CHUCK 1-13MM INCL ADAPTOR</t>
  </si>
  <si>
    <t>18107</t>
  </si>
  <si>
    <t>1-13MM KEYLESS DRILL CHUCK INCL ADAPTOR</t>
  </si>
  <si>
    <t>18150</t>
  </si>
  <si>
    <t>VACUUM ATTACHMENT</t>
  </si>
  <si>
    <t>18566</t>
  </si>
  <si>
    <t>TRANSPORT CASE TO SUIT JUNIOR</t>
  </si>
  <si>
    <t>18654</t>
  </si>
  <si>
    <t>MAGNETIC SWARF REMOVER</t>
  </si>
  <si>
    <t>18655</t>
  </si>
  <si>
    <t>MAGNETIC SWARF REMOVER 700MM LONG</t>
  </si>
  <si>
    <t>20201</t>
  </si>
  <si>
    <t>AFW ADAPTOR - WELDON TO M18 x 6P 1.5 FEIN</t>
  </si>
  <si>
    <t>20202</t>
  </si>
  <si>
    <t>ADAPTOR M18 x 6P1.5 TO WELDON TO SUIT FEIN</t>
  </si>
  <si>
    <t>20204</t>
  </si>
  <si>
    <t>ADAPTOR - WELDON TO FEIN-QUICK-IN</t>
  </si>
  <si>
    <t>20205</t>
  </si>
  <si>
    <t>WELDON TO ROTAQUICK ADAPTOR</t>
  </si>
  <si>
    <t>20206</t>
  </si>
  <si>
    <t>EXTENSION ARBOR &amp; PIN</t>
  </si>
  <si>
    <t>20230</t>
  </si>
  <si>
    <t>AL-3 TOOL HOLDER</t>
  </si>
  <si>
    <t>20240</t>
  </si>
  <si>
    <t>AL-4 TOOL HOLDER</t>
  </si>
  <si>
    <t>21003</t>
  </si>
  <si>
    <t>AMT 2 ARBOR</t>
  </si>
  <si>
    <t>21025</t>
  </si>
  <si>
    <t>AMT 3 ARBOR</t>
  </si>
  <si>
    <t>21105</t>
  </si>
  <si>
    <t>CHUCK ADAPTOR ONLY</t>
  </si>
  <si>
    <t>21106</t>
  </si>
  <si>
    <t>AS 13  DRILL ARBOR</t>
  </si>
  <si>
    <t>21108</t>
  </si>
  <si>
    <t>ALW ADAPTOR AL TO WELDON</t>
  </si>
  <si>
    <t>28107</t>
  </si>
  <si>
    <t>HEAVY DUTY CHUCK AND ADAPTOR</t>
  </si>
  <si>
    <t xml:space="preserve">CORE DRILLS </t>
  </si>
  <si>
    <t>HSS - 5% COBALT CORE DRILLS</t>
  </si>
  <si>
    <t>12 X 30 HSS-CO EXCISION CORE DRILL</t>
  </si>
  <si>
    <t>Core Drills HSS-Co</t>
  </si>
  <si>
    <t>12 X 50 HSS-CO EXCISION CORE DRILL</t>
  </si>
  <si>
    <t>13 X 30 HSS-CO EXCISION CORE DRILL</t>
  </si>
  <si>
    <t>13 X 50 HSS-CO EXCISION CORE DRILL</t>
  </si>
  <si>
    <t>14 X 30 HSS-CO EXCISION CORE DRILL</t>
  </si>
  <si>
    <t>14 X 50 HSS-CO EXCISION CORE DRILL</t>
  </si>
  <si>
    <t>15 X 30 HSS-CO EXCISION CORE DRILL</t>
  </si>
  <si>
    <t>15 X 50 HSS-CO EXCISION CORE DRILL</t>
  </si>
  <si>
    <t>16 X 30 HSS-CO EXCISION CORE DRILL</t>
  </si>
  <si>
    <t>16 X 50 HSS-CO EXCISION CORE DRILL</t>
  </si>
  <si>
    <t>17 X 30 HSS-CO EXCISION CORE DRILL</t>
  </si>
  <si>
    <t>17 X 50 HSS-CO EXCISION CORE DRILL</t>
  </si>
  <si>
    <t>18 X 30 HSS-CO EXCISION CORE DRILL</t>
  </si>
  <si>
    <t>18 X 50 HSS-CO EXCISION CORE DRILL</t>
  </si>
  <si>
    <t>19 X 30 HSS-CO EXCISION CORE DRILL</t>
  </si>
  <si>
    <t>19 X 50 HSS-CO EXCISION CORE DRILL</t>
  </si>
  <si>
    <t>20 X 30 HSS-CO EXCISION CORE DRILL</t>
  </si>
  <si>
    <t>20 X 50 HSS-CO EXCISION CORE DRILL</t>
  </si>
  <si>
    <t>21 X 30 HSS-CO EXCISION CORE DRILL</t>
  </si>
  <si>
    <t>21 X 50 HSS-CO EXCISION CORE DRILL</t>
  </si>
  <si>
    <t>22 X 30 HSS-CO EXCISION CORE DRILL</t>
  </si>
  <si>
    <t>22 X 50 HSS-CO EXCISION CORE DRILL</t>
  </si>
  <si>
    <t>23 X 30 HSS-CO EXCISION CORE DRILL</t>
  </si>
  <si>
    <t>23 X 50 HSS-CO EXCISION CORE DRILL</t>
  </si>
  <si>
    <t>24 X 30 HSS-CO EXCISION CORE DRILL</t>
  </si>
  <si>
    <t>24 X 50 HSS-CO EXCISION CORE DRILL</t>
  </si>
  <si>
    <t>25 X 30 HSS-CO EXCISION CORE DRILL</t>
  </si>
  <si>
    <t>25 X 50 HSS-CO EXCISION CORE DRILL</t>
  </si>
  <si>
    <t>26 X 30 HSS-CO EXCISION CORE DRILL</t>
  </si>
  <si>
    <t>26 X 50 HSS-CO EXCISION CORE DRILL</t>
  </si>
  <si>
    <t>27 X 30 HSS-CO EXCISION CORE DRILL</t>
  </si>
  <si>
    <t>27 X 50 HSS-CO EXCISION CORE DRILL</t>
  </si>
  <si>
    <t>28 X 30 HSS-CO EXCISION CORE DRILL</t>
  </si>
  <si>
    <t>28 X 50 HSS-CO EXCISION CORE DRILL</t>
  </si>
  <si>
    <t>29 X 30 HSS-CO EXCISION CORE DRILL</t>
  </si>
  <si>
    <t>29 X 50 HSS-CO EXCISION CORE DRILL</t>
  </si>
  <si>
    <t>30 X 30 HSS-CO EXCISION CORE DRILL</t>
  </si>
  <si>
    <t>30 X 50 HSS-CO EXCISION CORE DRILL</t>
  </si>
  <si>
    <t>31 X 30 HSS-CO EXCISION CORE DRILL</t>
  </si>
  <si>
    <t>31 X 50 HSS-CO EXCISION CORE DRILL</t>
  </si>
  <si>
    <t>32 X 30 HSS-CO EXCISION CORE DRILL</t>
  </si>
  <si>
    <t>32 X 50 HSS-CO EXCISION CORE DRILL</t>
  </si>
  <si>
    <t>33 X 30 HSS-CO EXCISION CORE DRILL</t>
  </si>
  <si>
    <t>33 X 50 HSS-CO EXCISION CORE DRILL</t>
  </si>
  <si>
    <t>34 X 30 HSS-CO EXCISION CORE DRILL</t>
  </si>
  <si>
    <t>34 X 50 HSS-CO EXCISION CORE DRILL</t>
  </si>
  <si>
    <t>35 X 30 HSS-CO EXCISION CORE DRILL</t>
  </si>
  <si>
    <t>35 X 50 HSS-CO EXCISION CORE DRILL</t>
  </si>
  <si>
    <t>36 X 30 HSS-CO EXCISION CORE DRILL</t>
  </si>
  <si>
    <t>36 X 50 HSS-CO EXCISION CORE DRILL</t>
  </si>
  <si>
    <t>37 X 30 HSS-CO EXCISION CORE DRILL</t>
  </si>
  <si>
    <t>37 X 50 HSS-CO EXCISION CORE DRILL</t>
  </si>
  <si>
    <t>38 X 30 HSS-CO EXCISION CORE DRILL</t>
  </si>
  <si>
    <t>38 X 50 HSS-CO EXCISION CORE DRILL</t>
  </si>
  <si>
    <t>39 X 30 HSS-CO EXCISION CORE DRILL</t>
  </si>
  <si>
    <t>39 X 50 HSS-CO EXCISION CORE DRILL</t>
  </si>
  <si>
    <t>40 X 30 HSS-CO EXCISION CORE DRILL</t>
  </si>
  <si>
    <t>40 X 50 HSS-CO EXCISION CORE DRILL</t>
  </si>
  <si>
    <t>41 X 30 HSS-CO EXCISION CORE DRILL</t>
  </si>
  <si>
    <t>41 X 50 HSS-CO EXCISION CORE DRILL</t>
  </si>
  <si>
    <t>42 X 30 HSS-CO EXCISION CORE DRILL</t>
  </si>
  <si>
    <t>42 X 50 HSS CO EXCISION CORE DRILL</t>
  </si>
  <si>
    <t>43 X 30 HSS-CO EXCISION CORE DRILL</t>
  </si>
  <si>
    <t>43 X 50 HSS CO EXCISION CORE DRILL</t>
  </si>
  <si>
    <t>44 X 30 HSS-CO EXCISION CORE DRILL</t>
  </si>
  <si>
    <t>44 X 50 HSS-CO EXCISION CORE DRILL</t>
  </si>
  <si>
    <t>45 X 30 HSS-CO EXCISION CORE DRILL</t>
  </si>
  <si>
    <t>45 X 50 HSS-CO EXCISION CORE DRILL</t>
  </si>
  <si>
    <t>46 X 30 HSS-CO EXCISION CORE DRILL</t>
  </si>
  <si>
    <t>46 X 50 HSS-CO EXCISION CORE DRILL</t>
  </si>
  <si>
    <t>47 X 30 HSS-CO EXCISION CORE DRILL</t>
  </si>
  <si>
    <t>47 X 50 HSS-CO EXCISION CORE DRILL</t>
  </si>
  <si>
    <t>48 X 30 HSS-CO EXCISION CORE DRILL</t>
  </si>
  <si>
    <t>48 X 50 HSS-CO EXCISION CORE DRILL</t>
  </si>
  <si>
    <t>49 X 30 HSS-CO EXCISION CORE DRILL</t>
  </si>
  <si>
    <t>49 X 50 HSS-CO EXCISION CORE DRILL</t>
  </si>
  <si>
    <t>50 X 30 HSS-CO EXCISION CORE DRILL</t>
  </si>
  <si>
    <t>50 X 50 HSS-CO EXCISION CORE DRILL</t>
  </si>
  <si>
    <t>51 X 50 HSS-CO EXCISION CORE DRILL</t>
  </si>
  <si>
    <t>52 X 50 HSS-CO EXCISION CORE DRILL</t>
  </si>
  <si>
    <t>53 X 50 HSS-CO EXCISION CORE DRILL</t>
  </si>
  <si>
    <t>54 X 50 HSS-CO EXCISION CORE DRILL</t>
  </si>
  <si>
    <t>55 X 50 HSS-CO EXCISION CORE DRILL</t>
  </si>
  <si>
    <t>56 X 50 HSS-CO EXCISION CORE DRILL</t>
  </si>
  <si>
    <t>57 X 50 HSS-CO EXCISION CORE DRILL</t>
  </si>
  <si>
    <t>58 X 50 HSS-CO EXCISION CORE DRILL</t>
  </si>
  <si>
    <t>59 X 50 HSS-CO EXCISION CORE DRILL</t>
  </si>
  <si>
    <t>60 X 50 HSS-CO EXCISION CORE DRILL</t>
  </si>
  <si>
    <t>CORE DRILL SETS</t>
  </si>
  <si>
    <t>1905005030</t>
  </si>
  <si>
    <t>EXCISION 5 PCE CUTTER SET 30MM</t>
  </si>
  <si>
    <t>Core Drill Sets</t>
  </si>
  <si>
    <t>1905005050</t>
  </si>
  <si>
    <t>EXCISION 5 PCE CUTTER SET 50MM</t>
  </si>
  <si>
    <t>CORE DRILL PINS</t>
  </si>
  <si>
    <t>1926500</t>
  </si>
  <si>
    <t>RA 359B EXCISION PIN</t>
  </si>
  <si>
    <t>1950500</t>
  </si>
  <si>
    <t>RA 360 EXCISION PIN</t>
  </si>
  <si>
    <t>1924500</t>
  </si>
  <si>
    <t>RA 359 EXCISION LARGE HEAD PIN</t>
  </si>
  <si>
    <t>1925500</t>
  </si>
  <si>
    <t>RA 359 EXCISION PIN</t>
  </si>
  <si>
    <t>2001500</t>
  </si>
  <si>
    <t>RA 363 EXCISION PIN</t>
  </si>
  <si>
    <t>2001501</t>
  </si>
  <si>
    <t>RA 362 EXCISION PIN</t>
  </si>
  <si>
    <t>2001502</t>
  </si>
  <si>
    <t>RA 367 Ø8 x 160mm EXCISION PIN</t>
  </si>
  <si>
    <t>CORE DRILLS - OTHER</t>
  </si>
  <si>
    <t>CORE DRILL TCT</t>
  </si>
  <si>
    <t>35MM Depth</t>
  </si>
  <si>
    <t>2005012035</t>
  </si>
  <si>
    <t>12 X 35 TCT EXCISION CORE DRILL</t>
  </si>
  <si>
    <t>Core Drills - Other</t>
  </si>
  <si>
    <t>2005013035</t>
  </si>
  <si>
    <t>13 X 35 TCT EXCISION CORE DRILL</t>
  </si>
  <si>
    <t>2005014035</t>
  </si>
  <si>
    <t>14 X 35 TCT EXCISION CORE DRILL</t>
  </si>
  <si>
    <t>2005015035</t>
  </si>
  <si>
    <t>15 X 35 TCT EXCISION CORE DRILL</t>
  </si>
  <si>
    <t>2005016035</t>
  </si>
  <si>
    <t>16 X 35 TCT EXCISION CORE DRILL</t>
  </si>
  <si>
    <t>2005017035</t>
  </si>
  <si>
    <t>17 X 35 TCT EXCISION CORE DRILL</t>
  </si>
  <si>
    <t>2005018035</t>
  </si>
  <si>
    <t>18 X 35 TCT EXCISION CORE DRILL</t>
  </si>
  <si>
    <t>2005019035</t>
  </si>
  <si>
    <t>19 X 35 TCT EXCISION CORE DRILL</t>
  </si>
  <si>
    <t>2005020035</t>
  </si>
  <si>
    <t>20 X 35 TCT EXCISION CORE DRILL</t>
  </si>
  <si>
    <t>2005021035</t>
  </si>
  <si>
    <t>21 X 35 TCT EXCISION CORE DRILL</t>
  </si>
  <si>
    <t>2005022035</t>
  </si>
  <si>
    <t>22 X 35 TCT EXCISION CORE DRILL</t>
  </si>
  <si>
    <t>2005023035</t>
  </si>
  <si>
    <t>23 X 35 TCT EXCISION CORE DRILL</t>
  </si>
  <si>
    <t>2005024035</t>
  </si>
  <si>
    <t>24 X 35 TCT EXCISION CORE DRILL</t>
  </si>
  <si>
    <t>2005025035</t>
  </si>
  <si>
    <t>25 X 35 TCT EXCISION CORE DRILL</t>
  </si>
  <si>
    <t>2005026035</t>
  </si>
  <si>
    <t>26 X 35 TCT EXCISION CORE DRILL</t>
  </si>
  <si>
    <t>2005027035</t>
  </si>
  <si>
    <t>27 X 35 TCT EXCISION CORE DRILL</t>
  </si>
  <si>
    <t>2005028035</t>
  </si>
  <si>
    <t>28 X 35 TCT EXCISION CORE DRILL</t>
  </si>
  <si>
    <t>2005029035</t>
  </si>
  <si>
    <t>29 X 35 TCT EXCISION CORE DRILL</t>
  </si>
  <si>
    <t>2005030035</t>
  </si>
  <si>
    <t>30 X 35 TCT EXCISION CORE DRILL</t>
  </si>
  <si>
    <t>2005031035</t>
  </si>
  <si>
    <t>31 X 35 TCT EXCISION CORE DRILL</t>
  </si>
  <si>
    <t>2005032035</t>
  </si>
  <si>
    <t>32 X 35 TCT EXCISION CORE DRILL</t>
  </si>
  <si>
    <t>2005033035</t>
  </si>
  <si>
    <t>33 X 35 TCT EXCISION CORE DRILL</t>
  </si>
  <si>
    <t>2005034035</t>
  </si>
  <si>
    <t>34 X 35 TCT EXCISION CORE DRILL</t>
  </si>
  <si>
    <t>2005035035</t>
  </si>
  <si>
    <t>35 X 35 TCT EXCISION CORE DRILL</t>
  </si>
  <si>
    <t>2005036035</t>
  </si>
  <si>
    <t>36 X 35 TCT EXCISION CORE DRILL</t>
  </si>
  <si>
    <t>2005037035</t>
  </si>
  <si>
    <t>37 X 35 TCT EXCISION CORE DRILL</t>
  </si>
  <si>
    <t>2005038035</t>
  </si>
  <si>
    <t>38 X 35 TCT EXCISION CORE DRILL</t>
  </si>
  <si>
    <t>2005039035</t>
  </si>
  <si>
    <t>39 X 35 TCT EXCISION CORE DRILL</t>
  </si>
  <si>
    <t>2005040035</t>
  </si>
  <si>
    <t>40 X 35 TCT EXCISION CORE DRILL</t>
  </si>
  <si>
    <t>50MM Depth</t>
  </si>
  <si>
    <t>2005012050</t>
  </si>
  <si>
    <t>12 X 50 TCT EXCISION CORE DRILL</t>
  </si>
  <si>
    <t>2005013050</t>
  </si>
  <si>
    <t>13 X 50 TCT EXCISION CORE DRILL</t>
  </si>
  <si>
    <t>2005014050</t>
  </si>
  <si>
    <t>14 X 50 TCT EXCISION CORE DRILL</t>
  </si>
  <si>
    <t>2005015050</t>
  </si>
  <si>
    <t>15 X 50 TCT EXCISION CORE DRILL</t>
  </si>
  <si>
    <t>2005016050</t>
  </si>
  <si>
    <t>16 X 50 TCT EXCISION CORE DRILL</t>
  </si>
  <si>
    <t>2005017050</t>
  </si>
  <si>
    <t>17 X 50 TCT EXCISION CORE DRILL</t>
  </si>
  <si>
    <t>2005018050</t>
  </si>
  <si>
    <t>18 X 50 TCT EXCISION CORE DRILL</t>
  </si>
  <si>
    <t>2005019050</t>
  </si>
  <si>
    <t>19 X 50 TCT EXCISION CORE DRILL</t>
  </si>
  <si>
    <t>2005020050</t>
  </si>
  <si>
    <t>20 X 50 TCT EXCISION CORE DRILL</t>
  </si>
  <si>
    <t>2005021050</t>
  </si>
  <si>
    <t>21 X 50 TCT EXCISION CORE DRILL</t>
  </si>
  <si>
    <t>2005022050</t>
  </si>
  <si>
    <t>22 X 50 TCT EXCISION CORE DRILL</t>
  </si>
  <si>
    <t>2005023050</t>
  </si>
  <si>
    <t>23 X 50 TCT EXCISION CORE DRILL</t>
  </si>
  <si>
    <t>2005024050</t>
  </si>
  <si>
    <t>24 X 50 TCT EXCISION CORE DRILL</t>
  </si>
  <si>
    <t>2005025050</t>
  </si>
  <si>
    <t>25 X 50 TCT EXCISION CORE DRILL</t>
  </si>
  <si>
    <t>2005026050</t>
  </si>
  <si>
    <t>26 X 50 TCT EXCISION CORE DRILL</t>
  </si>
  <si>
    <t>2005027050</t>
  </si>
  <si>
    <t>27 X 50 TCT EXCISION CORE DRILL</t>
  </si>
  <si>
    <t>2005028050</t>
  </si>
  <si>
    <t>28 X 50 TCT EXCISION CORE DRILL</t>
  </si>
  <si>
    <t>2005029050</t>
  </si>
  <si>
    <t>29 X 50 TCT EXCISION CORE DRILL</t>
  </si>
  <si>
    <t>2005030050</t>
  </si>
  <si>
    <t>30 X 50 TCT EXCISION CORE DRILL</t>
  </si>
  <si>
    <t>2005031050</t>
  </si>
  <si>
    <t>31 X 50 TCT EXCISION CORE DRILL</t>
  </si>
  <si>
    <t>2005032050</t>
  </si>
  <si>
    <t>32 X 50 TCT EXCISION CORE DRILL</t>
  </si>
  <si>
    <t>2005033050</t>
  </si>
  <si>
    <t>33 X 50 TCT EXCISION CORE DRILL</t>
  </si>
  <si>
    <t>2005034050</t>
  </si>
  <si>
    <t>34 X 50 TCT EXCISION CORE DRILL</t>
  </si>
  <si>
    <t>2005035050</t>
  </si>
  <si>
    <t>35 X 50 TCT EXCISION CORE DRILL</t>
  </si>
  <si>
    <t>2005036050</t>
  </si>
  <si>
    <t>36 X 50 TCT EXCISION CORE DRILL</t>
  </si>
  <si>
    <t>2005037050</t>
  </si>
  <si>
    <t>37 X 50 TCT EXCISION CORE DRILL</t>
  </si>
  <si>
    <t>2005038050</t>
  </si>
  <si>
    <t>38 X 50 TCT EXCISION CORE DRILL</t>
  </si>
  <si>
    <t>2005039050</t>
  </si>
  <si>
    <t>39 X 50 TCT EXCISION CORE DRILL</t>
  </si>
  <si>
    <t>2005040050</t>
  </si>
  <si>
    <t>40 X 50 TCT EXCISION CORE DRILL</t>
  </si>
  <si>
    <t>2005041050</t>
  </si>
  <si>
    <t>41 X 50 TCT EXCISION CORE DRILL</t>
  </si>
  <si>
    <t>2005042050</t>
  </si>
  <si>
    <t>42 X 50 TCT EXCISION CORE DRILL</t>
  </si>
  <si>
    <t>2005043050</t>
  </si>
  <si>
    <t>43 X 50 TCT EXCISION CORE DRILL</t>
  </si>
  <si>
    <t>2005044050</t>
  </si>
  <si>
    <t>44 X 50 TCT EXCISION CORE DRILL</t>
  </si>
  <si>
    <t>2005045050</t>
  </si>
  <si>
    <t>45 X 50 TCT EXCISION CORE DRILL</t>
  </si>
  <si>
    <t>2005046050</t>
  </si>
  <si>
    <t>46 X 50 TCT EXCISION CORE DRILL</t>
  </si>
  <si>
    <t>2005047050</t>
  </si>
  <si>
    <t>47 X 50 TCT EXCISION CORE DRILL</t>
  </si>
  <si>
    <t>2005048050</t>
  </si>
  <si>
    <t>48 X 50 TCT EXCISION CORE DRILL</t>
  </si>
  <si>
    <t>2005049050</t>
  </si>
  <si>
    <t>49 X 50 TCT EXCISION CORE DRILL</t>
  </si>
  <si>
    <t>2005050050</t>
  </si>
  <si>
    <t>50 X 50 TCT EXCISION CORE DRILL</t>
  </si>
  <si>
    <t>2005051050</t>
  </si>
  <si>
    <t>51 X 50 TCT EXCISION CORE DRILL</t>
  </si>
  <si>
    <t>2005052050</t>
  </si>
  <si>
    <t>52 X 50 TCT EXCISION CORE DRILL</t>
  </si>
  <si>
    <t>2005053050</t>
  </si>
  <si>
    <t>53 X 50 TCT EXCISION CORE DRILL</t>
  </si>
  <si>
    <t>2005054050</t>
  </si>
  <si>
    <t>54 X 50 TCT EXCISION CORE DRILL</t>
  </si>
  <si>
    <t>2005055050</t>
  </si>
  <si>
    <t>55 X 50 TCT EXCISION CORE DRILL</t>
  </si>
  <si>
    <t>2005056050</t>
  </si>
  <si>
    <t>56 X 50 TCT EXCISION CORE DRILL</t>
  </si>
  <si>
    <t>2005057050</t>
  </si>
  <si>
    <t>57 X 50 TCT EXCISION CORE DRILL</t>
  </si>
  <si>
    <t>2005058050</t>
  </si>
  <si>
    <t>58 X 50 TCT EXCISION CORE DRILL</t>
  </si>
  <si>
    <t>2005059050</t>
  </si>
  <si>
    <t>59 X 50 TCT EXCISION CORE DRILL</t>
  </si>
  <si>
    <t>2005060050</t>
  </si>
  <si>
    <t>60 X 50 TCT EXCISION CORE DRILL</t>
  </si>
  <si>
    <t>2005061050</t>
  </si>
  <si>
    <t>61 X 50 TCT EXCISION CORE DRILL</t>
  </si>
  <si>
    <t>2005062050</t>
  </si>
  <si>
    <t>62 X 50 TCT EXCISION CORE DRILL</t>
  </si>
  <si>
    <t>2005063050</t>
  </si>
  <si>
    <t>63 X 50 TCT EXCISION CORE DRILL</t>
  </si>
  <si>
    <t>2005064050</t>
  </si>
  <si>
    <t>64 X 50 TCT EXCISION CORE DRILL</t>
  </si>
  <si>
    <t>2005065050</t>
  </si>
  <si>
    <t>65 X 50 TCT EXCISION CORE DRILL</t>
  </si>
  <si>
    <t>2005066050</t>
  </si>
  <si>
    <t>66 X 50 TCT EXCISION CORE DRILL</t>
  </si>
  <si>
    <t>2005067050</t>
  </si>
  <si>
    <t>67 X 50 TCT EXCISION CORE DRILL</t>
  </si>
  <si>
    <t>2005068050</t>
  </si>
  <si>
    <t>68 X 50 TCT EXCISION CORE DRILL</t>
  </si>
  <si>
    <t>2005069050</t>
  </si>
  <si>
    <t>69 X 50 TCT EXCISION CORE DRILL</t>
  </si>
  <si>
    <t>2005070050</t>
  </si>
  <si>
    <t>70 X 50 TCT EXCISION CORE DRILL</t>
  </si>
  <si>
    <t>2005071050</t>
  </si>
  <si>
    <t>71 X 50 TCT EXCISION CORE DRILL</t>
  </si>
  <si>
    <t>2005072050</t>
  </si>
  <si>
    <t>72 X 50 TCT EXCISION CORE DRILL</t>
  </si>
  <si>
    <t>2005073050</t>
  </si>
  <si>
    <t>73 X 50 TCT EXCISION CORE DRILL</t>
  </si>
  <si>
    <t>2005074050</t>
  </si>
  <si>
    <t>74 X 50 TCT EXCISION CORE DRILL</t>
  </si>
  <si>
    <t>2005075050</t>
  </si>
  <si>
    <t>75 X 50 TCT EXCISION CORE DRILL</t>
  </si>
  <si>
    <t>2005076050</t>
  </si>
  <si>
    <t>76 X 50 TCT EXCISION CORE DRILL</t>
  </si>
  <si>
    <t>2005077050</t>
  </si>
  <si>
    <t>77 X 50 TCT EXCISION CORE DRILL</t>
  </si>
  <si>
    <t>2005078050</t>
  </si>
  <si>
    <t>78 X 50 TCT EXCISION CORE DRILL</t>
  </si>
  <si>
    <t>2005079050</t>
  </si>
  <si>
    <t>79 X 50 TCT EXCISION CORE DRILL</t>
  </si>
  <si>
    <t>2005080050</t>
  </si>
  <si>
    <t>80 X 50 TCT EXCISION CORE DRILL</t>
  </si>
  <si>
    <t>75MM Depth</t>
  </si>
  <si>
    <t>2005014075</t>
  </si>
  <si>
    <t>14 X 75 TCT EXCISION CORE DRILL</t>
  </si>
  <si>
    <t>2005015075</t>
  </si>
  <si>
    <t>15 X 75 TCT EXCISION CORE DRILL</t>
  </si>
  <si>
    <t>2005016075</t>
  </si>
  <si>
    <t>16 X 75 TCT EXCISION CORE DRILL</t>
  </si>
  <si>
    <t>2005017075</t>
  </si>
  <si>
    <t>17 X 75 TCT EXCISION CORE DRILL</t>
  </si>
  <si>
    <t>2005018075</t>
  </si>
  <si>
    <t>18 X 75 TCT EXCISION CORE DRILL</t>
  </si>
  <si>
    <t>2005019075</t>
  </si>
  <si>
    <t>19 X 75 TCT EXCISION CORE DRILL</t>
  </si>
  <si>
    <t>2005020075</t>
  </si>
  <si>
    <t>20 X 75 TCT EXCISION CORE DRILL</t>
  </si>
  <si>
    <t>2005021075</t>
  </si>
  <si>
    <t>21 X 75 TCT EXCISION CORE DRILL</t>
  </si>
  <si>
    <t>2005022075</t>
  </si>
  <si>
    <t>22 X 75 TCT EXCISION CORE DRILL</t>
  </si>
  <si>
    <t>2005023075</t>
  </si>
  <si>
    <t>23 X 75 TCT EXCISION CORE DRILL</t>
  </si>
  <si>
    <t>2005024075</t>
  </si>
  <si>
    <t>24 X 75 TCT EXCISION CORE DRILL</t>
  </si>
  <si>
    <t>2005025075</t>
  </si>
  <si>
    <t>25 X 75 TCT EXCISION CORE DRILL</t>
  </si>
  <si>
    <t>2005026075</t>
  </si>
  <si>
    <t>26 X 75 TCT EXCISION CORE DRILL</t>
  </si>
  <si>
    <t>2005027075</t>
  </si>
  <si>
    <t>27 X 75 TCT EXCISION CORE DRILL</t>
  </si>
  <si>
    <t>2005028075</t>
  </si>
  <si>
    <t>28 X 75 TCT EXCISION CORE DRILL</t>
  </si>
  <si>
    <t>2005029075</t>
  </si>
  <si>
    <t>29 X 75 TCT EXCISION CORE DRILL</t>
  </si>
  <si>
    <t>2005030075</t>
  </si>
  <si>
    <t>30 X 75 TCT EXCISION CORE DRILL</t>
  </si>
  <si>
    <t>2005031075</t>
  </si>
  <si>
    <t>31 X 75 TCT EXCISION CORE DRILL</t>
  </si>
  <si>
    <t>2005032075</t>
  </si>
  <si>
    <t>32 X 75 TCT EXCISION CORE DRILL</t>
  </si>
  <si>
    <t>2005033075</t>
  </si>
  <si>
    <t>33 X 75 TCT EXCISION CORE DRILL</t>
  </si>
  <si>
    <t>2005034075</t>
  </si>
  <si>
    <t>34 X 75 TCT EXCISION CORE DRILL</t>
  </si>
  <si>
    <t>2005035075</t>
  </si>
  <si>
    <t>35 X 75 TCT EXCISION CORE DRILL</t>
  </si>
  <si>
    <t>2005036075</t>
  </si>
  <si>
    <t>36 X 75 TCT EXCISION CORE DRILL</t>
  </si>
  <si>
    <t>2005037075</t>
  </si>
  <si>
    <t>37 X 75 TCT EXCISION CORE DRILL</t>
  </si>
  <si>
    <t>2005038075</t>
  </si>
  <si>
    <t>38 X 75 TCT EXCISION CORE DRILL</t>
  </si>
  <si>
    <t>2005039075</t>
  </si>
  <si>
    <t>39 X 75 TCT EXCISION CORE DRILL</t>
  </si>
  <si>
    <t>2005040075</t>
  </si>
  <si>
    <t>40 X 75 TCT EXCISION CORE DRILL</t>
  </si>
  <si>
    <t>2005041075</t>
  </si>
  <si>
    <t>41 X 75 TCT EXCISION CORE DRILL</t>
  </si>
  <si>
    <t>2005042075</t>
  </si>
  <si>
    <t>42 X 75 TCT EXCISION CORE DRILL</t>
  </si>
  <si>
    <t>2005043075</t>
  </si>
  <si>
    <t>43 X 75 TCT EXCISION CORE DRILL</t>
  </si>
  <si>
    <t>2005044075</t>
  </si>
  <si>
    <t>44 X 75 TCT EXCISION CORE DRILL</t>
  </si>
  <si>
    <t>2005045075</t>
  </si>
  <si>
    <t>45 X 75 TCT EXCISION CORE DRILL</t>
  </si>
  <si>
    <t>2005046075</t>
  </si>
  <si>
    <t>46 X 75 TCT EXCISION CORE DRILL</t>
  </si>
  <si>
    <t>2005047075</t>
  </si>
  <si>
    <t>47 X 75 TCT EXCISION CORE DRILL</t>
  </si>
  <si>
    <t>2005048075</t>
  </si>
  <si>
    <t>48 X 75 TCT EXCISION CORE DRILL</t>
  </si>
  <si>
    <t>2005049075</t>
  </si>
  <si>
    <t>49 X 75 TCT EXCISION CORE DRILL</t>
  </si>
  <si>
    <t>2005050075</t>
  </si>
  <si>
    <t>50 X 75 TCT EXCISION CORE DRILL</t>
  </si>
  <si>
    <t>2005051075</t>
  </si>
  <si>
    <t>51 X 75 TCT EXCISION CORE DRILL</t>
  </si>
  <si>
    <t>2005052075</t>
  </si>
  <si>
    <t>52 X 75 TCT EXCISION CORE DRILL</t>
  </si>
  <si>
    <t>2005053075</t>
  </si>
  <si>
    <t>53 X 75 TCT EXCISION CORE DRILL</t>
  </si>
  <si>
    <t>2005054075</t>
  </si>
  <si>
    <t>54 X 75 TCT EXCISION CORE DRILL</t>
  </si>
  <si>
    <t>2005055075</t>
  </si>
  <si>
    <t>55 X 75 TCT EXCISION CORE DRILL</t>
  </si>
  <si>
    <t>2005056075</t>
  </si>
  <si>
    <t>56 X 75 TCT EXCISION CORE DRILL</t>
  </si>
  <si>
    <t>2005057075</t>
  </si>
  <si>
    <t>57 X 75 TCT EXCISION CORE DRILL</t>
  </si>
  <si>
    <t>2005058075</t>
  </si>
  <si>
    <t>58 X 75 TCT EXCISION CORE DRILL</t>
  </si>
  <si>
    <t>2005059075</t>
  </si>
  <si>
    <t>59 X 75 TCT EXCISION CORE DRILL</t>
  </si>
  <si>
    <t>2005060075</t>
  </si>
  <si>
    <t>60 X 75 TCT EXCISION CORE DRILL</t>
  </si>
  <si>
    <t>2005061075</t>
  </si>
  <si>
    <t>61 X 75 TCT EXCISION CORE DRILL</t>
  </si>
  <si>
    <t>2005062075</t>
  </si>
  <si>
    <t>62 X 75 TCT EXCISION CORE DRILL</t>
  </si>
  <si>
    <t>2005063075</t>
  </si>
  <si>
    <t>63 X 75 TCT EXCISION CORE DRILL</t>
  </si>
  <si>
    <t>2005064075</t>
  </si>
  <si>
    <t>64 X 75 TCT EXCISION CORE DRILL</t>
  </si>
  <si>
    <t>2005065075</t>
  </si>
  <si>
    <t>65 X 75 TCT EXCISION CORE DRILL</t>
  </si>
  <si>
    <t>2005066075</t>
  </si>
  <si>
    <t>66 X 75 TCT EXCISION CORE DRILL</t>
  </si>
  <si>
    <t>2005067075</t>
  </si>
  <si>
    <t>67 X 75 TCT EXCISION CORE DRILL</t>
  </si>
  <si>
    <t>2005068075</t>
  </si>
  <si>
    <t>68 X 75 TCT EXCISION CORE DRILL</t>
  </si>
  <si>
    <t>2005069075</t>
  </si>
  <si>
    <t>69 X 75 TCT EXCISION CORE DRILL</t>
  </si>
  <si>
    <t>2005070075</t>
  </si>
  <si>
    <t>70 X 75 TCT EXCISION CORE DRILL</t>
  </si>
  <si>
    <t>2005071075</t>
  </si>
  <si>
    <t>71 X 75 TCT EXCISION CORE DRILL</t>
  </si>
  <si>
    <t>2005072075</t>
  </si>
  <si>
    <t>72 X 75 TCT EXCISION CORE DRILL</t>
  </si>
  <si>
    <t>2005073075</t>
  </si>
  <si>
    <t>73 X 75 TCT EXCISION CORE DRILL</t>
  </si>
  <si>
    <t>2005074075</t>
  </si>
  <si>
    <t>74 X 75 TCT EXCISION CORE DRILL</t>
  </si>
  <si>
    <t>2005075075</t>
  </si>
  <si>
    <t>75 X 75 TCT EXCISION CORE DRILL</t>
  </si>
  <si>
    <t>2005076075</t>
  </si>
  <si>
    <t>76 X 75 TCT EXCISION CORE DRILL</t>
  </si>
  <si>
    <t>2005077075</t>
  </si>
  <si>
    <t>77 X 75 TCT EXCISION CORE DRILL</t>
  </si>
  <si>
    <t>2005078075</t>
  </si>
  <si>
    <t>78 X 75 TCT EXCISION CORE DRILL</t>
  </si>
  <si>
    <t>2005079075</t>
  </si>
  <si>
    <t>79 X 75 TCT EXCISION CORE DRILL</t>
  </si>
  <si>
    <t>2005080075</t>
  </si>
  <si>
    <t>80 X 75 TCT EXCISION CORE DRILL</t>
  </si>
  <si>
    <t>100MM Depth</t>
  </si>
  <si>
    <t>2005018100</t>
  </si>
  <si>
    <t>18 X 100 TCT EXCISION CORE DRILL</t>
  </si>
  <si>
    <t>2005019100</t>
  </si>
  <si>
    <t>19 X 100 TCT EXCISION CORE DRILL</t>
  </si>
  <si>
    <t>2005020100</t>
  </si>
  <si>
    <t>20 X 100 TCT EXCISION CORE DRILL</t>
  </si>
  <si>
    <t>2005021100</t>
  </si>
  <si>
    <t>21 X 100 TCT EXCISION CORE DRILL</t>
  </si>
  <si>
    <t>2005022100</t>
  </si>
  <si>
    <t>22 X 100 TCT EXCISION CORE DRILL</t>
  </si>
  <si>
    <t>2005023100</t>
  </si>
  <si>
    <t>23 X 100 TCT EXCISION CORE DRILL</t>
  </si>
  <si>
    <t>2005024100</t>
  </si>
  <si>
    <t>24 X 100 TCT EXCISION CORE DRILL</t>
  </si>
  <si>
    <t>2005025100</t>
  </si>
  <si>
    <t>25 X 100 TCT EXCISION CORE DRILL</t>
  </si>
  <si>
    <t>2005026100</t>
  </si>
  <si>
    <t>26 X 100 TCT EXCISION CORE DRILL</t>
  </si>
  <si>
    <t>2005027100</t>
  </si>
  <si>
    <t>27 X 100 TCT EXCISION CORE DRILL</t>
  </si>
  <si>
    <t>2005028100</t>
  </si>
  <si>
    <t>28 X 100 TCT EXCISION CORE DRILL</t>
  </si>
  <si>
    <t>2005029100</t>
  </si>
  <si>
    <t>29 X 100 TCT EXCISION CORE DRILL</t>
  </si>
  <si>
    <t>2005030100</t>
  </si>
  <si>
    <t>30 X 100 TCT EXCISION CORE DRILL</t>
  </si>
  <si>
    <t>2005031100</t>
  </si>
  <si>
    <t>31 X 100 TCT EXCISION CORE DRILL</t>
  </si>
  <si>
    <t>2005032100</t>
  </si>
  <si>
    <t>32 X 100 TCT EXCISION CORE DRILL</t>
  </si>
  <si>
    <t>2005033100</t>
  </si>
  <si>
    <t>33 X 100 TCT EXCISION CORE DRILL</t>
  </si>
  <si>
    <t>2005034100</t>
  </si>
  <si>
    <t>34 X 100 TCT EXCISION CORE DRILL</t>
  </si>
  <si>
    <t>2005035100</t>
  </si>
  <si>
    <t>35 X 100 TCT EXCISION CORE DRILL</t>
  </si>
  <si>
    <t>2005036100</t>
  </si>
  <si>
    <t>36 X 100 TCT EXCISION CORE DRILL</t>
  </si>
  <si>
    <t>2005037100</t>
  </si>
  <si>
    <t>37 X 100 TCT EXCISION CORE DRILL</t>
  </si>
  <si>
    <t>2005038100</t>
  </si>
  <si>
    <t>38 X 100 TCT EXCISION CORE DRILL</t>
  </si>
  <si>
    <t>2005039100</t>
  </si>
  <si>
    <t>39 X 100 TCT EXCISION CORE DRILL</t>
  </si>
  <si>
    <t>2005040100</t>
  </si>
  <si>
    <t>40 X 100 TCT EXCISION CORE DRILL</t>
  </si>
  <si>
    <t>2005041100</t>
  </si>
  <si>
    <t>41 X 100 TCT EXCISION CORE DRILL</t>
  </si>
  <si>
    <t>2005042100</t>
  </si>
  <si>
    <t>42 X 100 TCT EXCISION CORE DRILL</t>
  </si>
  <si>
    <t>2005043100</t>
  </si>
  <si>
    <t>43 X 100 TCT EXCISION CORE DRILL</t>
  </si>
  <si>
    <t>2005044100</t>
  </si>
  <si>
    <t>44 X 100 TCT EXCISION CORE DRILL</t>
  </si>
  <si>
    <t>2005045100</t>
  </si>
  <si>
    <t>45 X 100 TCT EXCISION CORE DRILL</t>
  </si>
  <si>
    <t>2005046100</t>
  </si>
  <si>
    <t>46 X 100 TCT EXCISION CORE DRILL</t>
  </si>
  <si>
    <t>2005047100</t>
  </si>
  <si>
    <t>47 X 100 TCT EXCISION CORE DRILL</t>
  </si>
  <si>
    <t>2005048100</t>
  </si>
  <si>
    <t>48 X 100 TCT EXCISION CORE DRILL</t>
  </si>
  <si>
    <t>2005049100</t>
  </si>
  <si>
    <t>49 X 100 TCT EXCISION CORE DRILL</t>
  </si>
  <si>
    <t>2005050100</t>
  </si>
  <si>
    <t>50 X 100 TCT EXCISION CORE DRILL</t>
  </si>
  <si>
    <t>2005051100</t>
  </si>
  <si>
    <t>51 X 100 TCT EXCISION CORE DRILL</t>
  </si>
  <si>
    <t>2005052100</t>
  </si>
  <si>
    <t>52 X 100 TCT EXCISION CORE DRILL</t>
  </si>
  <si>
    <t>2005053100</t>
  </si>
  <si>
    <t>53 X 100 TCT EXCISION CORE DRILL</t>
  </si>
  <si>
    <t>2005054100</t>
  </si>
  <si>
    <t>54 X 100 TCT EXCISION CORE DRILL</t>
  </si>
  <si>
    <t>2005055100</t>
  </si>
  <si>
    <t>55 X 100 TCT EXCISION CORE DRILL</t>
  </si>
  <si>
    <t>2005056100</t>
  </si>
  <si>
    <t>56 X 100 TCT EXCISION CORE DRILL</t>
  </si>
  <si>
    <t>2005057100</t>
  </si>
  <si>
    <t>57 X 100 TCT EXCISION CORE DRILL</t>
  </si>
  <si>
    <t>2005058100</t>
  </si>
  <si>
    <t>58 X 100 TCT EXCISION CORE DRILL</t>
  </si>
  <si>
    <t>2005059100</t>
  </si>
  <si>
    <t>59 X 100 TCT EXCISION CORE DRILL</t>
  </si>
  <si>
    <t>2005060100</t>
  </si>
  <si>
    <t>60 X 100 TCT EXCISION CORE DRILL</t>
  </si>
  <si>
    <t>2005061100</t>
  </si>
  <si>
    <t>61 X 100 TCT EXCISION CORE DRILL</t>
  </si>
  <si>
    <t>2005062100</t>
  </si>
  <si>
    <t>62 X 100 TCT EXCISION CORE DRILL</t>
  </si>
  <si>
    <t>2005063100</t>
  </si>
  <si>
    <t>63 X 100 TCT EXCISION CORE DRILL</t>
  </si>
  <si>
    <t>2005064100</t>
  </si>
  <si>
    <t>64 X 100 TCT EXCISION CORE DRILL</t>
  </si>
  <si>
    <t>2005065100</t>
  </si>
  <si>
    <t>65 X 100 TCT EXCISION CORE DRILL</t>
  </si>
  <si>
    <t>2005066100</t>
  </si>
  <si>
    <t>66 X 100 TCT EXCISION CORE DRILL</t>
  </si>
  <si>
    <t>2005067100</t>
  </si>
  <si>
    <t>67 X 100 TCT EXCISION CORE DRILL</t>
  </si>
  <si>
    <t>2005068100</t>
  </si>
  <si>
    <t>68 X 100 TCT EXCISION CORE DRILL</t>
  </si>
  <si>
    <t>2005069100</t>
  </si>
  <si>
    <t>69 X 100 TCT EXCISION CORE DRILL</t>
  </si>
  <si>
    <t>2005070100</t>
  </si>
  <si>
    <t>70 X 100 TCT EXCISION CORE DRILL</t>
  </si>
  <si>
    <t>2005071100</t>
  </si>
  <si>
    <t>71 X 100 TCT EXCISION CORE DRILL</t>
  </si>
  <si>
    <t>2005072100</t>
  </si>
  <si>
    <t>72 X 100 TCT EXCISION CORE DRILL</t>
  </si>
  <si>
    <t>2005073100</t>
  </si>
  <si>
    <t>73 X 100 TCT EXCISION CORE DRILL</t>
  </si>
  <si>
    <t>2005074100</t>
  </si>
  <si>
    <t>74 X 100 TCT EXCISION CORE DRILL</t>
  </si>
  <si>
    <t>2005075100</t>
  </si>
  <si>
    <t>75 X 100 TCT EXCISION CORE DRILL</t>
  </si>
  <si>
    <t>2005076100</t>
  </si>
  <si>
    <t>76 X 100 TCT EXCISION CORE DRILL</t>
  </si>
  <si>
    <t>2005077100</t>
  </si>
  <si>
    <t>77 X 100 TCT EXCISION CORE DRILL</t>
  </si>
  <si>
    <t>2005078100</t>
  </si>
  <si>
    <t>78 X 100 TCT EXCISION CORE DRILL</t>
  </si>
  <si>
    <t>2005079100</t>
  </si>
  <si>
    <t>79 X 100 TCT EXCISION CORE DRILL</t>
  </si>
  <si>
    <t>2005080100</t>
  </si>
  <si>
    <t>80 X 100 TCT EXCISION CORE DRILL</t>
  </si>
  <si>
    <t>2005085100</t>
  </si>
  <si>
    <t>85 X 100 TCT EXCISION CORE DRILL</t>
  </si>
  <si>
    <t>2005090100</t>
  </si>
  <si>
    <t>90 X 100 TCT EXCISION CORE DRILL</t>
  </si>
  <si>
    <t>2005095100</t>
  </si>
  <si>
    <t>95 X 100 TCT EXCISION CORE DRILL</t>
  </si>
  <si>
    <t>2005100100</t>
  </si>
  <si>
    <t>100 X 100 TCT EXCISION CORE DRILL</t>
  </si>
  <si>
    <t>150MM Depth</t>
  </si>
  <si>
    <t>2005022150</t>
  </si>
  <si>
    <t>22 X 150 TCT EXCISION CORE DRILL</t>
  </si>
  <si>
    <t>2005024150</t>
  </si>
  <si>
    <t>24 X 150 TCT EXCISION CORE DRILL</t>
  </si>
  <si>
    <t>2005025150</t>
  </si>
  <si>
    <t>25 X 150 TCT EXCISION CORE DRILL</t>
  </si>
  <si>
    <t>2005026150</t>
  </si>
  <si>
    <t>26 X 150 TCT EXCISION CORE DRILL</t>
  </si>
  <si>
    <t>2005028150</t>
  </si>
  <si>
    <t>28 X 150 TCT EXCISION CORE DRILL</t>
  </si>
  <si>
    <t>2005030150</t>
  </si>
  <si>
    <t>30 X 150 TCT EXCISION CORE DRILL</t>
  </si>
  <si>
    <t>2005032150</t>
  </si>
  <si>
    <t>32 X 150 TCT EXCISION CORE DRILL</t>
  </si>
  <si>
    <t>2005034150</t>
  </si>
  <si>
    <t>34 X 150 TCT EXCISION CORE DRILL</t>
  </si>
  <si>
    <t>2005035150</t>
  </si>
  <si>
    <t>35 X 150 TCT EXCISION CORE DRILL</t>
  </si>
  <si>
    <t>2005036150</t>
  </si>
  <si>
    <t>36 X 150 TCT EXCISION CORE DRILL</t>
  </si>
  <si>
    <t>2005038150</t>
  </si>
  <si>
    <t>38 X 150 TCT EXCISION CORE DRILL</t>
  </si>
  <si>
    <t>2005040150</t>
  </si>
  <si>
    <t>40 X 150 TCT EXCISION CORE DRILL</t>
  </si>
  <si>
    <t>2005042150</t>
  </si>
  <si>
    <t>42 X 150 TCT EXCISION CORE DRILL</t>
  </si>
  <si>
    <t>2005044150</t>
  </si>
  <si>
    <t>44 X 150 TCT EXCISION CORE DRILL</t>
  </si>
  <si>
    <t>2005045150</t>
  </si>
  <si>
    <t>45 X 150 TCT EXCISION CORE DRILL</t>
  </si>
  <si>
    <t>2005046150</t>
  </si>
  <si>
    <t>46 X 150 TCT EXCISION CORE DRILL</t>
  </si>
  <si>
    <t>2005048150</t>
  </si>
  <si>
    <t>48 X 150 TCT EXCISION CORE DRILL</t>
  </si>
  <si>
    <t>2005050150</t>
  </si>
  <si>
    <t>50 X 150 TCT EXCISION CORE DRILL</t>
  </si>
  <si>
    <t>2005051150</t>
  </si>
  <si>
    <t>51 X 150 TCT EXCISION CORE DRILL</t>
  </si>
  <si>
    <t>2005052150</t>
  </si>
  <si>
    <t>52 X 150 TCT EXCISION CORE DRILL</t>
  </si>
  <si>
    <t>2005054150</t>
  </si>
  <si>
    <t>54 X 150 TCT EXCISION CORE DRILL</t>
  </si>
  <si>
    <t>2005055150</t>
  </si>
  <si>
    <t>55 X 150 TCT EXCISION CORE DRILL</t>
  </si>
  <si>
    <t>2005056150</t>
  </si>
  <si>
    <t>56 X 150 TCT EXCISION CORE DRILL</t>
  </si>
  <si>
    <t>2005058150</t>
  </si>
  <si>
    <t>58 X 150 TCT EXCISION CORE DRILL</t>
  </si>
  <si>
    <t>2005060150</t>
  </si>
  <si>
    <t>60 X 150 TCT EXCISION CORE DRILL</t>
  </si>
  <si>
    <t>2005061150</t>
  </si>
  <si>
    <t>61 X 150 TCT EXCISION CORE DRILL</t>
  </si>
  <si>
    <t>2005062150</t>
  </si>
  <si>
    <t>62 X 150 TCT EXCISION CORE DRILL</t>
  </si>
  <si>
    <t>2005063150</t>
  </si>
  <si>
    <t>63 X 150 TCT EXCISION CORE DRILL</t>
  </si>
  <si>
    <t>2005064150</t>
  </si>
  <si>
    <t>64 X 150 TCT EXCISION CORE DRILL</t>
  </si>
  <si>
    <t>2005065150</t>
  </si>
  <si>
    <t>65 X 150 TCT EXCISION CORE DRILL</t>
  </si>
  <si>
    <t>2005066150</t>
  </si>
  <si>
    <t>66 X 150 TCT EXCISION CORE DRILL</t>
  </si>
  <si>
    <t>2005067150</t>
  </si>
  <si>
    <t>67 X 150 TCT EXCISION CORE DRILL</t>
  </si>
  <si>
    <t>2005068150</t>
  </si>
  <si>
    <t>68 X 150 TCT EXCISION CORE DRILL</t>
  </si>
  <si>
    <t>2005069150</t>
  </si>
  <si>
    <t>69 X 150 TCT EXCISION CORE DRILL</t>
  </si>
  <si>
    <t>2005070150</t>
  </si>
  <si>
    <t>70 X 150 TCT EXCISION CORE DRILL</t>
  </si>
  <si>
    <t>2005071150</t>
  </si>
  <si>
    <t>71 X 150 TCT EXCISION CORE DRILL</t>
  </si>
  <si>
    <t>2005072150</t>
  </si>
  <si>
    <t>72 X 150 TCT EXCISION CORE DRILL</t>
  </si>
  <si>
    <t>2005073150</t>
  </si>
  <si>
    <t>73 X 150 TCT EXCISION CORE DRILL</t>
  </si>
  <si>
    <t>2005074150</t>
  </si>
  <si>
    <t>74 X 150 TCT EXCISION CORE DRILL</t>
  </si>
  <si>
    <t>2005075150</t>
  </si>
  <si>
    <t>75 X 150 TCT EXCISION CORE DRILL</t>
  </si>
  <si>
    <t>2005076150</t>
  </si>
  <si>
    <t>76 X 150 TCT EXCISION CORE DRILL</t>
  </si>
  <si>
    <t>2005077150</t>
  </si>
  <si>
    <t>77 X 150 TCT EXCISION CORE DRILL</t>
  </si>
  <si>
    <t>2005078150</t>
  </si>
  <si>
    <t>78 X 150 TCT EXCISION CORE DRILL</t>
  </si>
  <si>
    <t>2005079150</t>
  </si>
  <si>
    <t>79 X 150 TCT EXCISION CORE DRILL</t>
  </si>
  <si>
    <t>2005080150</t>
  </si>
  <si>
    <t>80 X 150 TCT EXCISION CORE DRILL</t>
  </si>
  <si>
    <t>HOLESAWS</t>
  </si>
  <si>
    <t>COARSE TOOTH BI-METAL HOLESAW</t>
  </si>
  <si>
    <t>0500014</t>
  </si>
  <si>
    <t>14MM HSS BIMETAL HOLESAW 4/6T</t>
  </si>
  <si>
    <t>Holesaws &amp; Sets (4/6 &amp; 10tpi)</t>
  </si>
  <si>
    <t>0500016</t>
  </si>
  <si>
    <t>16MM HSS BIMETAL HOLESAW 4/6T</t>
  </si>
  <si>
    <t>0500017</t>
  </si>
  <si>
    <t>17MM HSS BIMETAL HOLESAW 4/6T</t>
  </si>
  <si>
    <t>0500019</t>
  </si>
  <si>
    <t>19MM HSS BIMETAL HOLESAW 4/6T</t>
  </si>
  <si>
    <t>0500020</t>
  </si>
  <si>
    <t>20MM HSS BIMETAL HOLESAW 4/6T</t>
  </si>
  <si>
    <t>0500021</t>
  </si>
  <si>
    <t>21MM HSS BIMETAL HOLESAW 4/6T</t>
  </si>
  <si>
    <t>0500022</t>
  </si>
  <si>
    <t>22MM HSS BIMETAL HOLESAW 4/6T</t>
  </si>
  <si>
    <t>0500024</t>
  </si>
  <si>
    <t>24MM HSS BIMETAL HOLESAW 4/6T</t>
  </si>
  <si>
    <t>0500025</t>
  </si>
  <si>
    <t>25MM HSS BIMETAL HOLESAW 4/6T</t>
  </si>
  <si>
    <t>0500027</t>
  </si>
  <si>
    <t>27MM HSS BIMETAL HOLESAW 4/6T</t>
  </si>
  <si>
    <t>0500029</t>
  </si>
  <si>
    <t>29MM HSS BIMETAL HOLESAW 4/6T</t>
  </si>
  <si>
    <t>0500030</t>
  </si>
  <si>
    <t>30MM HSS BIMETAL HOLESAW 4/6T</t>
  </si>
  <si>
    <t>0500032</t>
  </si>
  <si>
    <t>32MM HSS BIMETAL HOLESAW 4/6T</t>
  </si>
  <si>
    <t>0500033</t>
  </si>
  <si>
    <t>33MM HSS BIMETAL HOLESAW 4/6T</t>
  </si>
  <si>
    <t>0500035</t>
  </si>
  <si>
    <t>35MM HSS BIMETAL HOLESAW 4/6T</t>
  </si>
  <si>
    <t>0500037</t>
  </si>
  <si>
    <t>37MM HSS BIMETAL HOLESAW 4/6T</t>
  </si>
  <si>
    <t>0500038</t>
  </si>
  <si>
    <t>38MM HSS BIMETAL HOLESAW 4/6T</t>
  </si>
  <si>
    <t>0500040</t>
  </si>
  <si>
    <t>40MM HSS BIMETAL HOLESAW 4/6T</t>
  </si>
  <si>
    <t>0500041</t>
  </si>
  <si>
    <t>41MM HSS BIMETAL HOLESAW 4/6T</t>
  </si>
  <si>
    <t>0500043</t>
  </si>
  <si>
    <t>43MM HSS BIMETAL HOLESAW 4/6T</t>
  </si>
  <si>
    <t>0500044</t>
  </si>
  <si>
    <t>44MM HSS BIMETAL HOLESAW 4/6T</t>
  </si>
  <si>
    <t>0500046</t>
  </si>
  <si>
    <t>46MM HSS BIMETAL HOLESAW 4/6T</t>
  </si>
  <si>
    <t>0500048</t>
  </si>
  <si>
    <t>48MM HSS BIMETAL HOLESAW 4/6T</t>
  </si>
  <si>
    <t>0500051</t>
  </si>
  <si>
    <t>51MM HSS BIMETAL HOLESAW 4/6T</t>
  </si>
  <si>
    <t>0500052</t>
  </si>
  <si>
    <t>52MM HSS BIMETAL HOLESAW 4/6T</t>
  </si>
  <si>
    <t>0500054</t>
  </si>
  <si>
    <t>54MM HSS BIMETAL HOLESAW 4/6T</t>
  </si>
  <si>
    <t>0500057</t>
  </si>
  <si>
    <t>57MM HSS BIMETAL HOLESAW 4/6T</t>
  </si>
  <si>
    <t>0500059</t>
  </si>
  <si>
    <t>59MM HSS BIMETAL HOLESAW 4/6T</t>
  </si>
  <si>
    <t>0500060</t>
  </si>
  <si>
    <t>60MM HSS BIMETAL HOLESAW 4/6T</t>
  </si>
  <si>
    <t>0500064</t>
  </si>
  <si>
    <t>64MM HSS BIMETAL HOLESAW 4/6T</t>
  </si>
  <si>
    <t>0500065</t>
  </si>
  <si>
    <t>65MM HSS BIMETAL HOLESAW 4/6T</t>
  </si>
  <si>
    <t>0500067</t>
  </si>
  <si>
    <t>67MM HSS BIMETAL HOLESAW 4/6T</t>
  </si>
  <si>
    <t>0500068</t>
  </si>
  <si>
    <t>68MM HSS BIMETAL HOLESAW 4/6T</t>
  </si>
  <si>
    <t>0500070</t>
  </si>
  <si>
    <t>70MM HSS BIMETAL HOLESAW 4/6T</t>
  </si>
  <si>
    <t>0500073</t>
  </si>
  <si>
    <t>73MM HSS BIMETAL HOLESAW 4/6T</t>
  </si>
  <si>
    <t>0500076</t>
  </si>
  <si>
    <t>76MM HSS BIMETAL HOLESAW 4/6T</t>
  </si>
  <si>
    <t>0500079</t>
  </si>
  <si>
    <t>79MM HSS BIMETAL HOLESAW 4/6T</t>
  </si>
  <si>
    <t>0500083</t>
  </si>
  <si>
    <t>83MM HSS BIMETAL HOLESAW 4/6T</t>
  </si>
  <si>
    <t>0500086</t>
  </si>
  <si>
    <t>86MM HSS BIMETAL HOLESAW 4/6T</t>
  </si>
  <si>
    <t>0500089</t>
  </si>
  <si>
    <t>89MM HSS BIMETAL HOLESAW 4/6T</t>
  </si>
  <si>
    <t>0500092</t>
  </si>
  <si>
    <t>92MM HSS BIMETAL HOLESAW 4/6T</t>
  </si>
  <si>
    <t>0500095</t>
  </si>
  <si>
    <t>95MM HSS BIMETAL HOLESAW 4/6T</t>
  </si>
  <si>
    <t>0500098</t>
  </si>
  <si>
    <t>98MM HSS BIMETAL HOLESAW 4/6T</t>
  </si>
  <si>
    <t>0500102</t>
  </si>
  <si>
    <t>102MM HSS BIMETAL HOLESAW 4/6T</t>
  </si>
  <si>
    <t>0500105</t>
  </si>
  <si>
    <t>105MM HSS BIMETAL HOLESAW 4/6T</t>
  </si>
  <si>
    <t>0500108</t>
  </si>
  <si>
    <t>108MM HSS BIMETAL HOLESAW 4/6T</t>
  </si>
  <si>
    <t>0500111</t>
  </si>
  <si>
    <t>111MM HSS BIMETAL HOLESAW 4/6T</t>
  </si>
  <si>
    <t>0500114</t>
  </si>
  <si>
    <t>114MM HSS BIMETAL HOLESAW 4/6T</t>
  </si>
  <si>
    <t>0500121</t>
  </si>
  <si>
    <t>121MM HSS BIMETAL HOLESAW 4/6T</t>
  </si>
  <si>
    <t>0500123</t>
  </si>
  <si>
    <t>123MM HSS BIMETAL HOLESAW 4/6T</t>
  </si>
  <si>
    <t>0500127</t>
  </si>
  <si>
    <t>127MM HSS BIMETAL HOLESAW 4/6T</t>
  </si>
  <si>
    <t>0500140</t>
  </si>
  <si>
    <t>140MM HSS BIMETAL HOLESAW 4/6T</t>
  </si>
  <si>
    <t>0500152</t>
  </si>
  <si>
    <t>152MM HSS BIMETAL HOLESAW 4/6T</t>
  </si>
  <si>
    <t>0500160</t>
  </si>
  <si>
    <t>160MM HSS BIMETAL HOLESAW 4/6T</t>
  </si>
  <si>
    <t>0500168</t>
  </si>
  <si>
    <t>168MM HSS BIMETAL HOLESAW 4/6T</t>
  </si>
  <si>
    <t>0500177</t>
  </si>
  <si>
    <t>177MM HSS BIMETAL HOLESAW 4/6T</t>
  </si>
  <si>
    <t>0500210</t>
  </si>
  <si>
    <t>210MM HSS BIMETAL HOLESAW 4/6T</t>
  </si>
  <si>
    <t>FINE TOOTH BI-METAL HOLESAW</t>
  </si>
  <si>
    <t>0510014</t>
  </si>
  <si>
    <t>14MM HSS BIMETAL HOLESAW 10T</t>
  </si>
  <si>
    <t>0510016</t>
  </si>
  <si>
    <t>16MM HSS BIMETAL HOLESAW 10T</t>
  </si>
  <si>
    <t>0510017</t>
  </si>
  <si>
    <t>17MM HSS BIMETAL HOLESAW 10T</t>
  </si>
  <si>
    <t>0510019</t>
  </si>
  <si>
    <t>19MM HSS BIMETAL HOLESAW 10T</t>
  </si>
  <si>
    <t>0510020</t>
  </si>
  <si>
    <t>20MM HSS BIMETAL HOLESAW 10T</t>
  </si>
  <si>
    <t>0510021</t>
  </si>
  <si>
    <t>21MM HSS BIMETAL HOLESAW 10T</t>
  </si>
  <si>
    <t>0510022</t>
  </si>
  <si>
    <t>22MM HSS BIMETAL HOLESAW 10T</t>
  </si>
  <si>
    <t>0510024</t>
  </si>
  <si>
    <t>24MM HSS BIMETAL HOLESAW 10T</t>
  </si>
  <si>
    <t>0510025</t>
  </si>
  <si>
    <t>25MM HSS BIMETAL HOLESAW 10T</t>
  </si>
  <si>
    <t>0510027</t>
  </si>
  <si>
    <t>27MM HSS BIMETAL HOLESAW 10T</t>
  </si>
  <si>
    <t>0510029</t>
  </si>
  <si>
    <t>29MM HSS BIMETAL HOLESAW 10T</t>
  </si>
  <si>
    <t>0510030</t>
  </si>
  <si>
    <t>30MM HSS BIMETAL HOLESAW 10T</t>
  </si>
  <si>
    <t>0510032</t>
  </si>
  <si>
    <t>32MM HSS BIMETAL HOLESAW 10T</t>
  </si>
  <si>
    <t>0510033</t>
  </si>
  <si>
    <t>33MM HSS BIMETAL HOLESAW 10T</t>
  </si>
  <si>
    <t>0510035</t>
  </si>
  <si>
    <t>35MM HSS BIMETAL HOLESAW 10T</t>
  </si>
  <si>
    <t>0510038</t>
  </si>
  <si>
    <t>38MM HSS BIMETAL HOLESAW 10T</t>
  </si>
  <si>
    <t>0510040</t>
  </si>
  <si>
    <t>40MM HSS BIMETAL HOLESAW 10T</t>
  </si>
  <si>
    <t>0510041</t>
  </si>
  <si>
    <t>41MM HSS BIMETAL HOLESAW 10T</t>
  </si>
  <si>
    <t>0510043</t>
  </si>
  <si>
    <t>43MM HSS BIMETAL HOLESAW 10T</t>
  </si>
  <si>
    <t>0510044</t>
  </si>
  <si>
    <t>44MM HSS BIMETAL HOLESAW 10T</t>
  </si>
  <si>
    <t>0510046</t>
  </si>
  <si>
    <t>46MM HSS BIMETAL HOLESAW 10T</t>
  </si>
  <si>
    <t>0510048</t>
  </si>
  <si>
    <t>48MM HSS BIMETAL HOLESAW 10T</t>
  </si>
  <si>
    <t>0510051</t>
  </si>
  <si>
    <t>51MM HSS BIMETAL HOLESAW 10T</t>
  </si>
  <si>
    <t>0510054</t>
  </si>
  <si>
    <t>54MM HSS BIMETAL HOLESAW 10T</t>
  </si>
  <si>
    <t>0510057</t>
  </si>
  <si>
    <t>57MM HSS BIMETAL HOLESAW 10T</t>
  </si>
  <si>
    <t>0510059</t>
  </si>
  <si>
    <t>59MM HSS BIMETAL HOLESAW 10T</t>
  </si>
  <si>
    <t>0510060</t>
  </si>
  <si>
    <t>60MM HSS BIMETAL HOLESAW 10T</t>
  </si>
  <si>
    <t>0510064</t>
  </si>
  <si>
    <t>64MM HSS BIMETAL HOLESAW 10T</t>
  </si>
  <si>
    <t>0510065</t>
  </si>
  <si>
    <t>65MM HSS BIMETAL HOLESAW 10T</t>
  </si>
  <si>
    <t>0510067</t>
  </si>
  <si>
    <t>67MM HSS BIMETAL HOLESAW 10T</t>
  </si>
  <si>
    <t>0510068</t>
  </si>
  <si>
    <t>68MM HSS BIMETAL HOLESAW 10T</t>
  </si>
  <si>
    <t>0510070</t>
  </si>
  <si>
    <t>70MM HSS BIMETAL HOLESAW 10T</t>
  </si>
  <si>
    <t>0510076</t>
  </si>
  <si>
    <t>76MM HSS BIMETAL HOLESAW 10T</t>
  </si>
  <si>
    <t>0510079</t>
  </si>
  <si>
    <t>79MM HSS BIMETAL HOLESAW 10T</t>
  </si>
  <si>
    <t>0510083</t>
  </si>
  <si>
    <t>83MM HSS BIMETAL HOLESAW 10T</t>
  </si>
  <si>
    <t>0510086</t>
  </si>
  <si>
    <t>86MM HSS BIMETAL HOLESAW 10T</t>
  </si>
  <si>
    <t>0510089</t>
  </si>
  <si>
    <t>89MM HSS BIMETAL HOLESAW 10T</t>
  </si>
  <si>
    <t>0510092</t>
  </si>
  <si>
    <t>92MM HSS BIMETAL HOLESAW 10T</t>
  </si>
  <si>
    <t>0510095</t>
  </si>
  <si>
    <t>95MM HSS BIMETAL HOLESAW 10T</t>
  </si>
  <si>
    <t>0510098</t>
  </si>
  <si>
    <t>98MM HSS BIMETAL HOLESAW 10T</t>
  </si>
  <si>
    <t>0510102</t>
  </si>
  <si>
    <t>102MM HSS BIMETAL HOLESAW 10T</t>
  </si>
  <si>
    <t>0503006</t>
  </si>
  <si>
    <t>GENERAL PURPOSE HOLESAW KIT</t>
  </si>
  <si>
    <t>0503007</t>
  </si>
  <si>
    <t>INDUSTRIAL HOLESAW KIT</t>
  </si>
  <si>
    <t>0503011</t>
  </si>
  <si>
    <t>PLUMBERS HOLESAW KIT</t>
  </si>
  <si>
    <t>0503012</t>
  </si>
  <si>
    <t>ELECTRICIANS HOLESAW KIT</t>
  </si>
  <si>
    <t>0513006</t>
  </si>
  <si>
    <t>GENERAL PURPOSE 10 TPI HOLESAW KIT</t>
  </si>
  <si>
    <t>0513007</t>
  </si>
  <si>
    <t>INDUSTRIAL 10TPI HOLESAW KIT</t>
  </si>
  <si>
    <t>0501001</t>
  </si>
  <si>
    <t>A6 ARBOR</t>
  </si>
  <si>
    <t>0501002</t>
  </si>
  <si>
    <t>A6-SDS ARBOR</t>
  </si>
  <si>
    <t>0501003</t>
  </si>
  <si>
    <t>A2-SS ARBOR</t>
  </si>
  <si>
    <t>0501005</t>
  </si>
  <si>
    <t>A2-SDS ARBOR</t>
  </si>
  <si>
    <t>0501006</t>
  </si>
  <si>
    <t>A3 ARBOR</t>
  </si>
  <si>
    <t>0501008</t>
  </si>
  <si>
    <t>A5-SS ARBOR</t>
  </si>
  <si>
    <t>0501010</t>
  </si>
  <si>
    <t>ARBOR EXTENSION</t>
  </si>
  <si>
    <t>0501020</t>
  </si>
  <si>
    <t>A4 ARBOR BUSH</t>
  </si>
  <si>
    <t>0501025</t>
  </si>
  <si>
    <t>A6 ARBOR SCREW</t>
  </si>
  <si>
    <t>0501026</t>
  </si>
  <si>
    <t>A2SS ARBOR SCREW</t>
  </si>
  <si>
    <t>0502001</t>
  </si>
  <si>
    <t>6.35 X 80MM CENTRE DRILL</t>
  </si>
  <si>
    <t>0502002</t>
  </si>
  <si>
    <t>6.35 X 95MM CENTRE DRILL</t>
  </si>
  <si>
    <t>0502004</t>
  </si>
  <si>
    <t>EJECTOR SPRING</t>
  </si>
  <si>
    <t>TCT - SHORT SERIES HOLESAW</t>
  </si>
  <si>
    <t>0600001</t>
  </si>
  <si>
    <t>TCT HOLESAW SET  SHORT SERIES</t>
  </si>
  <si>
    <t>Holesaws - Other</t>
  </si>
  <si>
    <t>0600160</t>
  </si>
  <si>
    <t>16MM TCT HOLESAW SHORT SERIES</t>
  </si>
  <si>
    <t>0600180</t>
  </si>
  <si>
    <t>18MM TCT HOLESAW SHORT SERIES</t>
  </si>
  <si>
    <t>0600190</t>
  </si>
  <si>
    <t>19MM TCT HOLESAW SHORT SERIES</t>
  </si>
  <si>
    <t>0600200</t>
  </si>
  <si>
    <t>20MM TCT HOLESAW SHORT SERIES</t>
  </si>
  <si>
    <t>0600210</t>
  </si>
  <si>
    <t>21MM TCT HOLESAW SHORT SERIES</t>
  </si>
  <si>
    <t>0600220</t>
  </si>
  <si>
    <t>22MM TCT HOLESAW SHORT SERIES</t>
  </si>
  <si>
    <t>0600250</t>
  </si>
  <si>
    <t>25MM TCT HOLESAW SHORT SERIES</t>
  </si>
  <si>
    <t>0600260</t>
  </si>
  <si>
    <t>26MM TCT HOLESAW SHORT SERIES</t>
  </si>
  <si>
    <t>0600280</t>
  </si>
  <si>
    <t>28MM TCT HOLESAW SHORT SERIES</t>
  </si>
  <si>
    <t>0600300</t>
  </si>
  <si>
    <t>30MM TCT HOLESAW SHORT SERIES</t>
  </si>
  <si>
    <t>0600320</t>
  </si>
  <si>
    <t>32MM TCT HOLESAW SHORT SERIES</t>
  </si>
  <si>
    <t>0600350</t>
  </si>
  <si>
    <t>35MM TCT HOLESAW SHORT SERIES</t>
  </si>
  <si>
    <t>0600380</t>
  </si>
  <si>
    <t>38MM TCT HOLESAW SHORT SERIES</t>
  </si>
  <si>
    <t>0600400</t>
  </si>
  <si>
    <t>40MM TCT HOLESAW SHORT SERIES</t>
  </si>
  <si>
    <t>0600420</t>
  </si>
  <si>
    <t>42MM TCT HOLESAW SHORT SERIES</t>
  </si>
  <si>
    <t>0600440</t>
  </si>
  <si>
    <t>44MM TCT HOLESAW SHORT SERIES</t>
  </si>
  <si>
    <t>0600450</t>
  </si>
  <si>
    <t>45MM TCT HOLESAW SHORT SERIES</t>
  </si>
  <si>
    <t>0600480</t>
  </si>
  <si>
    <t>48MM TCT HOLESAW SHORT SERIES</t>
  </si>
  <si>
    <t>0600500</t>
  </si>
  <si>
    <t>50MM TCT HOLESAW SHORT SERIES</t>
  </si>
  <si>
    <t>0600510</t>
  </si>
  <si>
    <t>51MM TCT HOLESAW SHORT SERIES</t>
  </si>
  <si>
    <t>0600540</t>
  </si>
  <si>
    <t>54MM TCT HOLESAW SHORT SERIES</t>
  </si>
  <si>
    <t>0600600</t>
  </si>
  <si>
    <t>60MM TCT HOLESAW SHORT SERIES</t>
  </si>
  <si>
    <t>0600640</t>
  </si>
  <si>
    <t>64MM TCT HOLESAW SHORT SERIES</t>
  </si>
  <si>
    <t>0600700</t>
  </si>
  <si>
    <t>70MM TCT HOLESAW SHORT SERIES</t>
  </si>
  <si>
    <t>0600760</t>
  </si>
  <si>
    <t>76MM TCT HOLESAW SHORT SERIES</t>
  </si>
  <si>
    <t>0602006</t>
  </si>
  <si>
    <t>SPARE EJECTOR SPRING TO SUIT TCT SHORT SERIES HOLESAWS</t>
  </si>
  <si>
    <t>0602650</t>
  </si>
  <si>
    <t>HSS SPARE CTR DRILL 15-100MM 6 X 60MM</t>
  </si>
  <si>
    <t>0602850</t>
  </si>
  <si>
    <t>HSS SPARE CTR DRILL 101-150MM 5 X 60MM</t>
  </si>
  <si>
    <t>TCT - LONG SERIES</t>
  </si>
  <si>
    <t>0700160</t>
  </si>
  <si>
    <t>16MM TCT HOLESAW LONG SERIES</t>
  </si>
  <si>
    <t>0700180</t>
  </si>
  <si>
    <t>18MM TCT HOLESAW LONG SERIES</t>
  </si>
  <si>
    <t>0700190</t>
  </si>
  <si>
    <t>19MM TCT HOLESAW LONG SERIES</t>
  </si>
  <si>
    <t>0700200</t>
  </si>
  <si>
    <t>20MM TCT HOLESAW LONG SERIES</t>
  </si>
  <si>
    <t>0700210</t>
  </si>
  <si>
    <t>21MM TCT HOLESAW LONG SERIES</t>
  </si>
  <si>
    <t>0700220</t>
  </si>
  <si>
    <t>22MM TCT HOLESAW LONG SERIES</t>
  </si>
  <si>
    <t>0700240</t>
  </si>
  <si>
    <t>24MM TCT HOLESAW LONG SERIES</t>
  </si>
  <si>
    <t>0700250</t>
  </si>
  <si>
    <t>25MM TCT HOLESAW LONG SERIES</t>
  </si>
  <si>
    <t>0700260</t>
  </si>
  <si>
    <t>26MM TCT HOLESAW LONG SERIES</t>
  </si>
  <si>
    <t>0700280</t>
  </si>
  <si>
    <t>28MM TCT HOLESAW LONG SERIES</t>
  </si>
  <si>
    <t>0700300</t>
  </si>
  <si>
    <t>30MM TCT HOLESAW LONG SERIES</t>
  </si>
  <si>
    <t>0700310</t>
  </si>
  <si>
    <t>31MM TCT HOLESAW LONG SERIES</t>
  </si>
  <si>
    <t>0700320</t>
  </si>
  <si>
    <t>32MM TCT HOLESAW LONG SERIES</t>
  </si>
  <si>
    <t>0700340</t>
  </si>
  <si>
    <t>34MM TCT HOLESAW LONG SERIES</t>
  </si>
  <si>
    <t>0700360</t>
  </si>
  <si>
    <t>36MM TCT HOLESAW LONG SERIES</t>
  </si>
  <si>
    <t>0700380</t>
  </si>
  <si>
    <t>38MM TCT HOLESAW LONG SERIES</t>
  </si>
  <si>
    <t>0700400</t>
  </si>
  <si>
    <t>40MM TCT HOLESAW LONG SERIES</t>
  </si>
  <si>
    <t>0700420</t>
  </si>
  <si>
    <t>42MM TCT HOLESAW LONG SERIES</t>
  </si>
  <si>
    <t>0700440</t>
  </si>
  <si>
    <t>44MM TCT HOLESAW LONG SERIES</t>
  </si>
  <si>
    <t>0700450</t>
  </si>
  <si>
    <t>45MM TCT HOLESAW LONG SERIES</t>
  </si>
  <si>
    <t>0700480</t>
  </si>
  <si>
    <t>48MM TCT HOLESAW LONG SERIES</t>
  </si>
  <si>
    <t>0700500</t>
  </si>
  <si>
    <t>50MM TCT HOLESAW LONG SERIES</t>
  </si>
  <si>
    <t>0700510</t>
  </si>
  <si>
    <t>51MM TCT HOLESAW LONG SERIES</t>
  </si>
  <si>
    <t>0700540</t>
  </si>
  <si>
    <t>54MM TCT HOLESAW LONG SERIES</t>
  </si>
  <si>
    <t>0700600</t>
  </si>
  <si>
    <t>60MM TCT HOLESAW LONG SERIES</t>
  </si>
  <si>
    <t>0700640</t>
  </si>
  <si>
    <t>64MM TCT HOLESAW LONG SERIES</t>
  </si>
  <si>
    <t>0700700</t>
  </si>
  <si>
    <t>70MM TCT HOLESAW LONG SERIES</t>
  </si>
  <si>
    <t>0700760</t>
  </si>
  <si>
    <t>76MM TCT HOLESAW LONG SERIES</t>
  </si>
  <si>
    <t>0700800</t>
  </si>
  <si>
    <t>80MM TCT HOLESAW LONG SERIES</t>
  </si>
  <si>
    <t>0700850</t>
  </si>
  <si>
    <t>85MM TCT HOLESAW LONG SERIES</t>
  </si>
  <si>
    <t>0700900</t>
  </si>
  <si>
    <t>90MM TCT HOLESAW LONG SERIES</t>
  </si>
  <si>
    <t>0701000</t>
  </si>
  <si>
    <t>100MM TCT HOLESAW LONG SERIES</t>
  </si>
  <si>
    <t>TCT - FRP HOLESAW</t>
  </si>
  <si>
    <t>0740025060</t>
  </si>
  <si>
    <t>25MM TCT HOLESAW FRP TYPE</t>
  </si>
  <si>
    <t>0740030060</t>
  </si>
  <si>
    <t>30MM TCT HOLESAW FRP TYPE</t>
  </si>
  <si>
    <t>0740035060</t>
  </si>
  <si>
    <t>35MM TCT HOLESAW FRP TYPE</t>
  </si>
  <si>
    <t>0740040060</t>
  </si>
  <si>
    <t>40MM TCT HOLESAW FRP TYPE</t>
  </si>
  <si>
    <t>0740045060</t>
  </si>
  <si>
    <t>45MM TCT HOLESAW FRP TYPE</t>
  </si>
  <si>
    <t>0740050060</t>
  </si>
  <si>
    <t>50MM TCT HOLESAW FRP TYPE</t>
  </si>
  <si>
    <t>0740055060</t>
  </si>
  <si>
    <t>55MM TCT HOLESAW FRP TYPE</t>
  </si>
  <si>
    <t>0740058060</t>
  </si>
  <si>
    <t>58MM TCT HOLESAW FRP TYPE</t>
  </si>
  <si>
    <t>0740060060</t>
  </si>
  <si>
    <t>60MM TCT HOLESAW FRP TYPE</t>
  </si>
  <si>
    <t>0740063060</t>
  </si>
  <si>
    <t>63MM TCT HOLESAW FRP TYPE</t>
  </si>
  <si>
    <t>0740065060</t>
  </si>
  <si>
    <t>65MM TCT HOLESAW FRP TYPE</t>
  </si>
  <si>
    <t>0740068060</t>
  </si>
  <si>
    <t>68MM TCT HOLESAW FRP TYPE</t>
  </si>
  <si>
    <t>0740070060</t>
  </si>
  <si>
    <t>70MM TCT HOLESAW FRP TYPE</t>
  </si>
  <si>
    <t>0740074060</t>
  </si>
  <si>
    <t>74MM TCT HOLESAW FRP TYPE</t>
  </si>
  <si>
    <t>0740076060</t>
  </si>
  <si>
    <t>76MM TCT HOLESAW FRP TYPE</t>
  </si>
  <si>
    <t>0740080060</t>
  </si>
  <si>
    <t>80MM TCT HOLESAW FRP TYPE</t>
  </si>
  <si>
    <t>0740085060</t>
  </si>
  <si>
    <t>85MM TCT HOLESAW FRP TYPE</t>
  </si>
  <si>
    <t>0740090060</t>
  </si>
  <si>
    <t>90MM TCT HOLESAW FRP TYPE</t>
  </si>
  <si>
    <t>0740095060</t>
  </si>
  <si>
    <t>95MM TCT HOLESAW FRP TYPE</t>
  </si>
  <si>
    <t>0740105060</t>
  </si>
  <si>
    <t>105MM TCT HOLESAW FRP TYPE</t>
  </si>
  <si>
    <t>0741068000</t>
  </si>
  <si>
    <t>68MM CSK RIM</t>
  </si>
  <si>
    <t>0742000001</t>
  </si>
  <si>
    <t>SW 12 ARBOR</t>
  </si>
  <si>
    <t>0742000002</t>
  </si>
  <si>
    <t>SDS ARBOR</t>
  </si>
  <si>
    <t>0742000003</t>
  </si>
  <si>
    <t>CENTRE DRILL</t>
  </si>
  <si>
    <t>0752800</t>
  </si>
  <si>
    <t>HSS SPARE CENTRE DRILL 8 X 100MM</t>
  </si>
  <si>
    <t>0752880</t>
  </si>
  <si>
    <t>HSS SPARE CENTRE DRILL 8 X 80MM</t>
  </si>
  <si>
    <t>1105006</t>
  </si>
  <si>
    <t>DEBURRING TOOL SET</t>
  </si>
  <si>
    <t>11168</t>
  </si>
  <si>
    <t>XL ARBOR KIT</t>
  </si>
  <si>
    <t>EXCISION STEP DRILL</t>
  </si>
  <si>
    <t>26020</t>
  </si>
  <si>
    <t>EXCISION 3 FLUTE STEP DRILL M5-20</t>
  </si>
  <si>
    <t>Step Drills</t>
  </si>
  <si>
    <t>26030</t>
  </si>
  <si>
    <t>EXCISION 3 FLUTE STEP DRILL M5-30</t>
  </si>
  <si>
    <t>26040</t>
  </si>
  <si>
    <t>EXCISION 3 FLUTE STEP DRILL M5-40</t>
  </si>
  <si>
    <t>26050</t>
  </si>
  <si>
    <t>EXCISION 3 FLUTE STEP DRILL M5-50</t>
  </si>
  <si>
    <t>26002</t>
  </si>
  <si>
    <t>EXCISION SPARE DRILL BIT TO SUIT STEP DRILLS</t>
  </si>
  <si>
    <t>PUNCH &amp; DIES</t>
  </si>
  <si>
    <t>Punches</t>
  </si>
  <si>
    <t>24101XXX</t>
  </si>
  <si>
    <t xml:space="preserve">GROUP 1 ROUND PUNCH </t>
  </si>
  <si>
    <t>Punch &amp; Dies</t>
  </si>
  <si>
    <t>24101XXXXXX</t>
  </si>
  <si>
    <t xml:space="preserve">GROUP 1 OBLONG PUNCH </t>
  </si>
  <si>
    <t xml:space="preserve">GROUP 1 SQUARE PUNCH </t>
  </si>
  <si>
    <t>24102XXX</t>
  </si>
  <si>
    <t>GROUP 2 ROUND PUNCH</t>
  </si>
  <si>
    <t>24102XXXXXX</t>
  </si>
  <si>
    <t xml:space="preserve">GROUP 2 OBLONG PUNCH </t>
  </si>
  <si>
    <t>GROUP 2 SQUARE PUNCH</t>
  </si>
  <si>
    <t>24103XXX</t>
  </si>
  <si>
    <t xml:space="preserve">GROUP 3 ROUND PUNCH </t>
  </si>
  <si>
    <t>24103XXXXXX</t>
  </si>
  <si>
    <t xml:space="preserve">GROUP 3 OBLONG PUNCH </t>
  </si>
  <si>
    <t>GROUP 3 SQUARE PUNCH</t>
  </si>
  <si>
    <t>24104XXX</t>
  </si>
  <si>
    <t xml:space="preserve">GROUP 4 ROUND PUNCH </t>
  </si>
  <si>
    <t>24104XXXXXX</t>
  </si>
  <si>
    <t xml:space="preserve">GROUP 4 OBLONG PUNCH </t>
  </si>
  <si>
    <t xml:space="preserve">GROUP 4 SQUARE PUNCH </t>
  </si>
  <si>
    <t>24105XXX</t>
  </si>
  <si>
    <t xml:space="preserve">210/13 ROUND PUNCH </t>
  </si>
  <si>
    <t>24105XXXXXX</t>
  </si>
  <si>
    <t>210/13 OBLONG PUNCH</t>
  </si>
  <si>
    <t>210/13 SQUARE PUNCH</t>
  </si>
  <si>
    <t>24106XXX</t>
  </si>
  <si>
    <t xml:space="preserve">210/16 ROUND PUNCH </t>
  </si>
  <si>
    <t>24106XXXXXX</t>
  </si>
  <si>
    <t>210/16 OBLONG PUNCH</t>
  </si>
  <si>
    <t>210/16 SQUARE PUNCH</t>
  </si>
  <si>
    <t>24107XXX</t>
  </si>
  <si>
    <t xml:space="preserve">9004 ROUND PUNCH </t>
  </si>
  <si>
    <t>24107XXXXXX</t>
  </si>
  <si>
    <t>9004 OBLONG PUNCH</t>
  </si>
  <si>
    <t>9004 SQUARE PUNCH</t>
  </si>
  <si>
    <t>24108XXX</t>
  </si>
  <si>
    <t xml:space="preserve">9006 ROUND PUNCH </t>
  </si>
  <si>
    <t>24108XXXXXX</t>
  </si>
  <si>
    <t xml:space="preserve">9006 OBLONG PUNCH </t>
  </si>
  <si>
    <t xml:space="preserve">9006 SQUARE PUNCH </t>
  </si>
  <si>
    <t>24109XXX</t>
  </si>
  <si>
    <t xml:space="preserve">GEKA 13 ROUND PUNCH </t>
  </si>
  <si>
    <t>24109XXXXXX</t>
  </si>
  <si>
    <t xml:space="preserve">GEKA 13 OBLONG PUNCH </t>
  </si>
  <si>
    <t xml:space="preserve">GEKA 13 SQUARE PUNCH </t>
  </si>
  <si>
    <t>24122XXX</t>
  </si>
  <si>
    <t xml:space="preserve">GEKA 8/40 ROUND PUNCH </t>
  </si>
  <si>
    <t>24122XXXXXX</t>
  </si>
  <si>
    <t xml:space="preserve">GEKA 8/40 OBLONG PUNCH </t>
  </si>
  <si>
    <t xml:space="preserve">GEKA 8/40 SQUARE PUNCH </t>
  </si>
  <si>
    <t>24110XXX</t>
  </si>
  <si>
    <t xml:space="preserve">EXCISION / NITTO ROUND PUNCH </t>
  </si>
  <si>
    <t>24110XXXXXX</t>
  </si>
  <si>
    <t>EXCISION / NITTO OBLONG PUNCH</t>
  </si>
  <si>
    <t>EXCISION / NITTO SQUARE PUNCH</t>
  </si>
  <si>
    <t>24123XXX</t>
  </si>
  <si>
    <t xml:space="preserve">4014C ROUND PUNCH </t>
  </si>
  <si>
    <t>24123XXXXXX</t>
  </si>
  <si>
    <t xml:space="preserve">4014C OBLONG PUNCH </t>
  </si>
  <si>
    <t xml:space="preserve">4014C SQUARE PUNCH </t>
  </si>
  <si>
    <t>24124XXX</t>
  </si>
  <si>
    <t>SHARP 505N ROUND PUNCH</t>
  </si>
  <si>
    <t>24124XXXXXX</t>
  </si>
  <si>
    <t>SHARP 505N OBLONG PUNCH</t>
  </si>
  <si>
    <t>SHARP 505N SQUARE PUNCH</t>
  </si>
  <si>
    <t>24111XXX</t>
  </si>
  <si>
    <t xml:space="preserve">OMERA 13 ROUND PUNCH </t>
  </si>
  <si>
    <t>24111XXXXXX</t>
  </si>
  <si>
    <t xml:space="preserve">OMERA 13 OBLONG PUNCH </t>
  </si>
  <si>
    <t xml:space="preserve">OMERA 13 SQUARE PUNCH </t>
  </si>
  <si>
    <t>24112XXX</t>
  </si>
  <si>
    <t xml:space="preserve">OMERA 16 ROUND PUNCH </t>
  </si>
  <si>
    <t>24112XXXXXX</t>
  </si>
  <si>
    <t xml:space="preserve">OMERA 16 OBLONG PUNCH </t>
  </si>
  <si>
    <t xml:space="preserve">OMERA 16 SQUARE PUNCH </t>
  </si>
  <si>
    <t>24115XXX</t>
  </si>
  <si>
    <t xml:space="preserve">FICEP 14 ROUND PUNCH </t>
  </si>
  <si>
    <t>24115XXXXXX</t>
  </si>
  <si>
    <t xml:space="preserve">FICEP 14 OBLONG PUNCH </t>
  </si>
  <si>
    <t xml:space="preserve">FICEP 14 SQUARE PUNCH </t>
  </si>
  <si>
    <t>24116XXX</t>
  </si>
  <si>
    <t xml:space="preserve">FICEP 16 ROUND PUNCH </t>
  </si>
  <si>
    <t>24116XXXXXX</t>
  </si>
  <si>
    <t xml:space="preserve">FICEP 16 OBLONG PUNCH </t>
  </si>
  <si>
    <t xml:space="preserve">FICEP 16 SQUARE PUNCH </t>
  </si>
  <si>
    <t>24119XXX</t>
  </si>
  <si>
    <t xml:space="preserve">23N/8 ROUND PUNCH </t>
  </si>
  <si>
    <t>24119XXXXXX</t>
  </si>
  <si>
    <t xml:space="preserve">23N/8 OBLONG PUNCH </t>
  </si>
  <si>
    <t xml:space="preserve">23N/8 SQUARE PUNCH </t>
  </si>
  <si>
    <t>24120XXX</t>
  </si>
  <si>
    <t xml:space="preserve">22N/16 ROUND PUNCH </t>
  </si>
  <si>
    <t>24120XXXXXX</t>
  </si>
  <si>
    <t xml:space="preserve">22N/16 OBLONG PUNCH </t>
  </si>
  <si>
    <t xml:space="preserve">22N/16 SQUARE PUNCH </t>
  </si>
  <si>
    <t>DIES</t>
  </si>
  <si>
    <t>24201XXX</t>
  </si>
  <si>
    <t xml:space="preserve">GROUP 1 ROUND DIE </t>
  </si>
  <si>
    <t>24201XXXXXX</t>
  </si>
  <si>
    <t xml:space="preserve">GROUP 1 OBLONG DIE </t>
  </si>
  <si>
    <t xml:space="preserve">GROUP 1 SQUARE DIE </t>
  </si>
  <si>
    <t>24202XXX</t>
  </si>
  <si>
    <t xml:space="preserve">GROUP 2 ROUND DIE </t>
  </si>
  <si>
    <t>24202XXXXXX</t>
  </si>
  <si>
    <t xml:space="preserve">GROUP 2 OBLONG DIE </t>
  </si>
  <si>
    <t xml:space="preserve">GROUP 2 SQUARE DIE </t>
  </si>
  <si>
    <t>24221XXX</t>
  </si>
  <si>
    <t xml:space="preserve">NO.8 ROUND DIE </t>
  </si>
  <si>
    <t>24221XXXXXX</t>
  </si>
  <si>
    <t xml:space="preserve">NO.8 OBLONG DIE </t>
  </si>
  <si>
    <t xml:space="preserve">NO.8 SQUARE DIE </t>
  </si>
  <si>
    <t>24204XXX</t>
  </si>
  <si>
    <t xml:space="preserve">GROUP 4 ROUND DIE </t>
  </si>
  <si>
    <t>24204XXXXXX</t>
  </si>
  <si>
    <t xml:space="preserve">GROUP 4 OBLONG DIE </t>
  </si>
  <si>
    <t xml:space="preserve">GROUP 4 SQUARE DIE </t>
  </si>
  <si>
    <t>24205XXX</t>
  </si>
  <si>
    <t xml:space="preserve">210/13 ROUND DIE </t>
  </si>
  <si>
    <t>24205XXXXXX</t>
  </si>
  <si>
    <t xml:space="preserve">210/13 OBLONG DIE </t>
  </si>
  <si>
    <t xml:space="preserve">210/13 SQUARE DIE </t>
  </si>
  <si>
    <t>24206XXX</t>
  </si>
  <si>
    <t xml:space="preserve">210/16 ROUND DIE </t>
  </si>
  <si>
    <t>24206XXXXXX</t>
  </si>
  <si>
    <t>210/16 OBLONG DIE</t>
  </si>
  <si>
    <t xml:space="preserve">210/16 SQUARE DIE </t>
  </si>
  <si>
    <t>24210XXX</t>
  </si>
  <si>
    <t xml:space="preserve">EXCISION / NITTO ROUND DIE </t>
  </si>
  <si>
    <t>24210XXXXXX</t>
  </si>
  <si>
    <t xml:space="preserve">EXCISION / NITTO OBLONG DIE </t>
  </si>
  <si>
    <t xml:space="preserve">EXCISION / NITTO SQUARE DIE </t>
  </si>
  <si>
    <t>24211XXX</t>
  </si>
  <si>
    <t xml:space="preserve">OMERA 13 ROUND DIE </t>
  </si>
  <si>
    <t>24211XXXXXX</t>
  </si>
  <si>
    <t xml:space="preserve">OMERA 13 OBLONG DIE </t>
  </si>
  <si>
    <t xml:space="preserve">OMERA 13 SQUARE DIE </t>
  </si>
  <si>
    <t>24212XXX</t>
  </si>
  <si>
    <t xml:space="preserve">OMERA 16 ROUND DIE </t>
  </si>
  <si>
    <t>24212XXXXXX</t>
  </si>
  <si>
    <t xml:space="preserve">OMERA 16 OBLONG DIE </t>
  </si>
  <si>
    <t xml:space="preserve">OMERA 16 SQUARE DIE </t>
  </si>
  <si>
    <t>24214XXX</t>
  </si>
  <si>
    <t xml:space="preserve">FICEP 13 ROUND DIE </t>
  </si>
  <si>
    <t>24214XXXXXX</t>
  </si>
  <si>
    <t xml:space="preserve">FICEP 13 OBLONG DIE </t>
  </si>
  <si>
    <t xml:space="preserve">FICEP 13 SQUARE DIE </t>
  </si>
  <si>
    <t>24215XXX</t>
  </si>
  <si>
    <t xml:space="preserve">FICEP 14 ROUND DIE </t>
  </si>
  <si>
    <t>24215XXXXXX</t>
  </si>
  <si>
    <t xml:space="preserve">FICEP 14 OBLONG DIE </t>
  </si>
  <si>
    <t xml:space="preserve">FICEP 14 SQUARE DIE </t>
  </si>
  <si>
    <t>24216XXX</t>
  </si>
  <si>
    <t xml:space="preserve">FICEP 16 ROUND DIE </t>
  </si>
  <si>
    <t>24216XXXXXX</t>
  </si>
  <si>
    <t xml:space="preserve">FICEP 16 OBLONG DIE </t>
  </si>
  <si>
    <t xml:space="preserve">FICEP 16 SQUARE DIE </t>
  </si>
  <si>
    <t>24219XXX</t>
  </si>
  <si>
    <t xml:space="preserve">23N/8 ROUND DIE </t>
  </si>
  <si>
    <t>24219XXXXXX</t>
  </si>
  <si>
    <t xml:space="preserve">23N/8 OBLONG DIE </t>
  </si>
  <si>
    <t xml:space="preserve">23N/8 SQUARE DIE </t>
  </si>
  <si>
    <t>24220XXX</t>
  </si>
  <si>
    <t xml:space="preserve">22N/16 ROUND DIE </t>
  </si>
  <si>
    <t>24220XXXXXX</t>
  </si>
  <si>
    <t xml:space="preserve">22N/16 OBLONG DIE </t>
  </si>
  <si>
    <t xml:space="preserve">22N/16 SQUARE DIE </t>
  </si>
  <si>
    <t>METAL CUTTING MACHINES</t>
  </si>
  <si>
    <t>EXCISION BANDSAWS</t>
  </si>
  <si>
    <t>4105PHM</t>
  </si>
  <si>
    <t>EXCISION 105 - PHM PORTABLE BANDSAW</t>
  </si>
  <si>
    <t>Bandsaw Machines - Excision</t>
  </si>
  <si>
    <t>4120PHM</t>
  </si>
  <si>
    <t>EXCISION 120 - PHM PORTABLE BANDSAW</t>
  </si>
  <si>
    <t>4205PHM</t>
  </si>
  <si>
    <t>EXCISION 205 - PHM PORTABLE BANDSAW</t>
  </si>
  <si>
    <t>4210PHW</t>
  </si>
  <si>
    <t>EXCISION 210 - PHW PORTABLE BANDSAW W WHEELS</t>
  </si>
  <si>
    <t>RLLPR50-220</t>
  </si>
  <si>
    <t>EXCISION PORTABLE ROLLER PR-50 220MM WIDTH</t>
  </si>
  <si>
    <t>401180PGM1</t>
  </si>
  <si>
    <t xml:space="preserve">EXCISION 180 - PGM BANDSAW MACHINE 1 PHASE </t>
  </si>
  <si>
    <t>POA</t>
  </si>
  <si>
    <t>401280PGM1</t>
  </si>
  <si>
    <t>EXCISION 280 - PGM BANDSAW MACHINE 1 PHASE</t>
  </si>
  <si>
    <t>401280PGD1</t>
  </si>
  <si>
    <t>EXCISION 280 - PGD BANDSAW MACHINE 1 PHASE</t>
  </si>
  <si>
    <t>401310PGD3</t>
  </si>
  <si>
    <t>EXCISION 310 - PGD BANDSAW MACHINE 415V DOUBLE MITRE</t>
  </si>
  <si>
    <t>401610PSD3</t>
  </si>
  <si>
    <t>EXCISION 610 - PSD SEMI-AUTO BANDSAW MACHINE 3 PHASE</t>
  </si>
  <si>
    <t>EXCISION COLDSAWS</t>
  </si>
  <si>
    <t>402350VMD1</t>
  </si>
  <si>
    <t>EXCISION 350 - VMD COLDSAW MACHINE 1 PHASE 20-80RPM</t>
  </si>
  <si>
    <t>Coldsaw Machines - Excision</t>
  </si>
  <si>
    <t>402315SMD1</t>
  </si>
  <si>
    <t>EXCISION 315 - SMD COLDSAW MACHINE 1 PHASE 40RPM</t>
  </si>
  <si>
    <t>402350SMD1</t>
  </si>
  <si>
    <t>EXCISION 350 - SMD COLDSAW MACHINE 1 PHASE 40RPM</t>
  </si>
  <si>
    <t>402350SMD3</t>
  </si>
  <si>
    <t>EXCISION 350 - SMD COLDSAW MACHINE 3 PHASE 40/80RPM</t>
  </si>
  <si>
    <t>402350PSMD2</t>
  </si>
  <si>
    <t>EXCISION 350P - SMD COLDSAW MACHINE 3 PHASE 20/40RPM</t>
  </si>
  <si>
    <t>402350PVMD1</t>
  </si>
  <si>
    <t>EXCISION 350P - VMD COLDSAW MACHINE 1 PHASE 20-80RPM</t>
  </si>
  <si>
    <t>METAL PREPARING MACHINES</t>
  </si>
  <si>
    <t>HYDRAULIC PUNCHING UNITS</t>
  </si>
  <si>
    <t>23004</t>
  </si>
  <si>
    <t>APS 120 PUNCHING UNIT</t>
  </si>
  <si>
    <t>Punching Units</t>
  </si>
  <si>
    <t>23189</t>
  </si>
  <si>
    <t>HYDRAULIC PUMP AHP-M</t>
  </si>
  <si>
    <t>23155</t>
  </si>
  <si>
    <t>APS GO TO SUIT HYDRAULIC PUNCHING UNITS</t>
  </si>
  <si>
    <t>23004-056B</t>
  </si>
  <si>
    <t>TENSION NUT 25mm TO SUIT APS 120</t>
  </si>
  <si>
    <t>BEVELLING</t>
  </si>
  <si>
    <t>EXCISION B2 AIR HAND BEVELLING MACHINE</t>
  </si>
  <si>
    <t>Bevelling &amp; Deburring Units</t>
  </si>
  <si>
    <t>INSERTS TO SUIT B2 AIR 3 SIDED (10 PACK)</t>
  </si>
  <si>
    <t>1.5MM RADIUS INSERTS TO SUIT B2 AIR 3 SIDED (10 PACK)</t>
  </si>
  <si>
    <t>COATED INSERTS TO SUIT B2 AIR 3 SIDED (10 PACK)</t>
  </si>
  <si>
    <t>EXCISION B3 HAND BEVELLING MACHINE 240V</t>
  </si>
  <si>
    <t>COATED INSERTS TO SUIT B3 &amp; UZ20 4 SIDED (10 PACK)</t>
  </si>
  <si>
    <t>25200</t>
  </si>
  <si>
    <t>EXCISION KFK 5 DEBURRING BEVELLING MACHINE</t>
  </si>
  <si>
    <t>25202</t>
  </si>
  <si>
    <t>EXCISION 45° INSERT HOLDER TO SUIT KFK 5</t>
  </si>
  <si>
    <t>25203</t>
  </si>
  <si>
    <t>EXCISION 30° INSERT HOLDER TO SUIT KFK 5</t>
  </si>
  <si>
    <t>25205</t>
  </si>
  <si>
    <t>2.5mm RADIUS INSERTS TO SUIT KFK 5</t>
  </si>
  <si>
    <t>25206</t>
  </si>
  <si>
    <t>INDEXABLE INSERTS TO SUIT KFK 5</t>
  </si>
  <si>
    <t>25207</t>
  </si>
  <si>
    <t>EXCISION GUIDING STOP TO SUIT KFK 5</t>
  </si>
  <si>
    <t>25209</t>
  </si>
  <si>
    <t>HEAVY DUTY INDEXABLE INSERTS TO SUIT KFK 5</t>
  </si>
  <si>
    <t>25310</t>
  </si>
  <si>
    <t>EXCISION KFK 10 BEVELLING MACHINE (INCLUDES 45° HEAD)</t>
  </si>
  <si>
    <t>25315</t>
  </si>
  <si>
    <t>EXCISION KFK 15 BEVELLING MACHINE (INCLUDES 45° HEAD)</t>
  </si>
  <si>
    <t>PREMIUM TOOL HOLDER 45° TO SUIT KFK 10/15</t>
  </si>
  <si>
    <t>PREMIUM TOOL HOLDER 30°  TO SUIT KFK 10/15</t>
  </si>
  <si>
    <t>PREMIUM TOOL HOLDER 60°  TO SUIT KFK 10/15</t>
  </si>
  <si>
    <t>GRINDING ADAPTER EDGE CLEAN TO SUIT KFK 10/15</t>
  </si>
  <si>
    <t>GRINDING RINGS GRIT 40 (50 PACK)</t>
  </si>
  <si>
    <t>EXCISION B-DOCK TO SUIT KFK 10/15</t>
  </si>
  <si>
    <t>EXCISION XPIPE BEVELER ATTACHMENT</t>
  </si>
  <si>
    <t>PREMIUM INDEXABLE INSERTS TO SUIT KFK 10/15 10PK</t>
  </si>
  <si>
    <t>SCREWS FOR INSERT TO SUIT 10/15</t>
  </si>
  <si>
    <t>27220</t>
  </si>
  <si>
    <t>EXCISION B15 AIR BEVELLING MACHINE (INCLUDES 45° HEAD)</t>
  </si>
  <si>
    <t>29220</t>
  </si>
  <si>
    <t>EXCISION B22 ZERO BEVELLING MACHINE 240V</t>
  </si>
  <si>
    <t>29203</t>
  </si>
  <si>
    <t>INSERTS TO SUIT B22 ZERO 4 SIDED (10 PACK)</t>
  </si>
  <si>
    <t>29205</t>
  </si>
  <si>
    <t>PREMIUM INSERTS TO SUIT B22 ZERO 4 SIDED (10 PACK)</t>
  </si>
  <si>
    <t>29202</t>
  </si>
  <si>
    <t>MILLING HEAD PREMIUM TO SUIT B22 ZERO</t>
  </si>
  <si>
    <t>29201</t>
  </si>
  <si>
    <t>MILLING HEAD STANDARD TO SUIT B22 ZERO</t>
  </si>
  <si>
    <t>1918</t>
  </si>
  <si>
    <t>EXCISION UZ12 BEVELLING MACHINE 415V</t>
  </si>
  <si>
    <t>1927</t>
  </si>
  <si>
    <t>ECO CUTTER TO SUIT UZ12</t>
  </si>
  <si>
    <t>1916</t>
  </si>
  <si>
    <t>PREMIUM CUTTER COATED TO SUIT UZ12</t>
  </si>
  <si>
    <t>25950</t>
  </si>
  <si>
    <t>EXCISION SKS 15 AUTO (UZ15) BEVELLING MACHINE 415V</t>
  </si>
  <si>
    <t>25951</t>
  </si>
  <si>
    <t>SHEARING KNIFE HSS PREMIUM COATED TO SUIT SKS15/UZ15/UZ18</t>
  </si>
  <si>
    <t>25952</t>
  </si>
  <si>
    <t>SHEARING KNIFE HSS-ECO TO SUIT SKS15/UZ15/UZ18</t>
  </si>
  <si>
    <t>25960</t>
  </si>
  <si>
    <t>MANIPULATOR COMPLETE WITH LOCKING DEVICE TO SUIT SKS15/UZ12/UZ18</t>
  </si>
  <si>
    <t>1980</t>
  </si>
  <si>
    <t>EXCISION UZ18 BEVELLING MACHINE 415V</t>
  </si>
  <si>
    <t>1940</t>
  </si>
  <si>
    <t>EXCISION UZ50 TRIUMPH 415V WITH MANIPULATOR</t>
  </si>
  <si>
    <t>1955</t>
  </si>
  <si>
    <t>PREMUIM INSERTS TO SUIT UZ50 4 SIDED (10 PACK)</t>
  </si>
  <si>
    <t>1945</t>
  </si>
  <si>
    <t>INSERTS TO SUIT UZ50 4 SIDED (10 PACK)</t>
  </si>
  <si>
    <t>1962</t>
  </si>
  <si>
    <t>EXCISION UZ29 SPEEDER 415V WITH MANIPULATOR</t>
  </si>
  <si>
    <t>25100</t>
  </si>
  <si>
    <t>EXCISION KFH 150 DEBURRING BEVELLING MACHINE</t>
  </si>
  <si>
    <t>25110</t>
  </si>
  <si>
    <t>EXCISION KFT 250 DEBURRING BEVELLING MACHINE</t>
  </si>
  <si>
    <t>25130</t>
  </si>
  <si>
    <t>EXCISION KFH 250 DEBURRING BEVELLING MACHINE</t>
  </si>
  <si>
    <t>25140</t>
  </si>
  <si>
    <t>EXCISION KFT 500 DEBURRING BEVELLING MACHINE</t>
  </si>
  <si>
    <t>25250</t>
  </si>
  <si>
    <t>EXCISION KSL DEBURRING BEVELLING MACHINE</t>
  </si>
  <si>
    <t>25012</t>
  </si>
  <si>
    <t>MILLING DISC TO SUIT 25010 SKF 63-15</t>
  </si>
  <si>
    <t>25013</t>
  </si>
  <si>
    <t>INSERTS TO SUIT SKF 63-15</t>
  </si>
  <si>
    <t>25014</t>
  </si>
  <si>
    <t>TUBE ATTACHMENT TO SUIT 25010 SKF 63-15</t>
  </si>
  <si>
    <t>25014A</t>
  </si>
  <si>
    <t>TUBE ATTACHMENT TO SUIT SKF 63-15 UP TO 2000MM DIAMETER</t>
  </si>
  <si>
    <t>MACHINE TOOLING CONSUMABLES</t>
  </si>
  <si>
    <t>INSERTS</t>
  </si>
  <si>
    <t>TURNING INSERT FINISHING STEEL WNMG080404 EFS XC31</t>
  </si>
  <si>
    <t>Machine Tooling Consumables</t>
  </si>
  <si>
    <t>71160218-4</t>
  </si>
  <si>
    <t>4 PACK TURNING INSERT FINISHING STEEL WNMG080404 EFS XC31</t>
  </si>
  <si>
    <t>TURNING INSERT FINISHING STEEL DNMG 150604 EFS XC31</t>
  </si>
  <si>
    <t>TURNING INSERT FINISHING STEEL TNMG 160404 EFS XC31</t>
  </si>
  <si>
    <t>71160409-4</t>
  </si>
  <si>
    <t>4 PACK TURNING INSERT FINISHING STEEL TNMG 160404 EFS XC31</t>
  </si>
  <si>
    <t>TURNING INSERT FINISHING STEEL CCMT 09T304 EFS XC31</t>
  </si>
  <si>
    <t>TURNING INSERT FINISHING STEEL TCMT16T304 EFS XC31</t>
  </si>
  <si>
    <t>TURNING INSERT FINISHING STEEL TCMT110204 EFS XC31</t>
  </si>
  <si>
    <t>71160820-4</t>
  </si>
  <si>
    <t>4 PACK TURNING INSERTS FINISHING MULTI-PURPOSE &amp; STEEL TCMT110204</t>
  </si>
  <si>
    <t>71160821-4</t>
  </si>
  <si>
    <t>4 PACK MIXED ROUGHING &amp; FINISHING TURNING INSERTS TCMT110204 &amp; TCMT110208</t>
  </si>
  <si>
    <t>TURNING INSERT FINISHING STEEL CCMT 09T304 EFS XC81</t>
  </si>
  <si>
    <t>TURNING INSERT FINISHING STEEL DCMT 11T304 EFS XC81</t>
  </si>
  <si>
    <t>TURNING INSERT FINISHING STEEL VBMT 160404 EFS XC81</t>
  </si>
  <si>
    <t>TURNING INSERT FINISHING STEEL TCMT 16T304 EFS XC81</t>
  </si>
  <si>
    <t>TURNING INSERT GENERAL PURPOSE CNMG 120408 EGP XC32</t>
  </si>
  <si>
    <t>TURNING INSERT GENERAL PURPOSE WNMG 080408 EGP XC32</t>
  </si>
  <si>
    <t>71270203-4</t>
  </si>
  <si>
    <t>4 PACK TURNING INSERT GENERAL PURPOSE WNMG 080408 EGP XC32</t>
  </si>
  <si>
    <t>TURNING INSERT GENERAL PURPOSE DNMG 150608 EGP XC32</t>
  </si>
  <si>
    <t>TURNING INSERT GENERAL PURPOSE TNMG 160408 EGP XC32</t>
  </si>
  <si>
    <t>71270408-4</t>
  </si>
  <si>
    <t>4 PACK TURNING INSERT GENERAL PURPOSE TNMG 160408 EGP XC32</t>
  </si>
  <si>
    <t>TURNING INSERT GENERAL PURPOSE TCMT16T308 EGP XC32</t>
  </si>
  <si>
    <t>TURNING INSERT GENERAL PURPOSE TCMT110208 EGP XC32</t>
  </si>
  <si>
    <t>71270819-4</t>
  </si>
  <si>
    <t>4 PACK TURNING INSERT GENERAL PURPOSE TCMT110208 EGP XC32</t>
  </si>
  <si>
    <t>TURNING INSERT GENERAL PURPOSE CNMG 120412 EGP XC33</t>
  </si>
  <si>
    <t>TURNING INSERT GENERAL PURPOSE WNMG 080412 EGP XC33</t>
  </si>
  <si>
    <t>TURNING INSERT GENERAL PURPOSE TNMG 160412 EGP XC33</t>
  </si>
  <si>
    <t>TURNING INSERT GENERAL PURPOSE CCMT 09T308 EGP XC81</t>
  </si>
  <si>
    <t>TURNING INSERT GENERAL PURPOSE DCMT 11T308 EGP XC81</t>
  </si>
  <si>
    <t>TURNING INSERT GENERAL PURPOSE VBMT 160408 EGP XC81</t>
  </si>
  <si>
    <t>TURNING INSERT GENERAL PURPOSE TCMT 16T308 EGP XC81</t>
  </si>
  <si>
    <t>TURNING INSERT GENERAL PURPOSE SCMT 09T308 EGP XC81</t>
  </si>
  <si>
    <t>TURNING INSERT STAINLESS MEDIUM WNMG080408 EMS XC21</t>
  </si>
  <si>
    <t>71350203-4</t>
  </si>
  <si>
    <t>4 PACK TURNING INSERT STAINLESS MEDIUM WNMG080408 EMS XC21</t>
  </si>
  <si>
    <t>TURNING INSERT STAINLESS MEDIUM TNMG160404 EMS XC21</t>
  </si>
  <si>
    <t>71350409-4</t>
  </si>
  <si>
    <t>4 PACK TURNING INSERT STAINLESS MEDIUM TNMG160404 EMS XC21</t>
  </si>
  <si>
    <t>TURNING INSERT MEDIUM STEEL CNMG 120408 EMS XC31</t>
  </si>
  <si>
    <t>TURNING INSERT MEDIUM STEEL WNMG 080408 EMS XC31</t>
  </si>
  <si>
    <t>TURNING INSERT STAINLESS MEDIUM CNMG120408 EMS XC33</t>
  </si>
  <si>
    <t>TURNING INSERT MEDIUM STEEL DNMG 150612 EMS XC33</t>
  </si>
  <si>
    <t>TURNING INSERT STAINLESS STEEL CNMG 120408 ESS XC33</t>
  </si>
  <si>
    <t>TURNING INSERT STAINLESS STEEL CNMG 120404 ESS XC33</t>
  </si>
  <si>
    <t>TURNING INSERT STAINLESS STEEL WNMG 080404 ESS XC33</t>
  </si>
  <si>
    <t>TURNING INSERT STAINLESS STEEL DNMG 150608 ESS XC33</t>
  </si>
  <si>
    <t>TURNING INSERT STAINLESS STEEL DNMG 150604 ESS XC33</t>
  </si>
  <si>
    <t>TURNING INSERT STAINLESS STEEL TNMG 160404 ESS XC33</t>
  </si>
  <si>
    <t>TURNING INSERT STAINLESS STEEL SNMG 120404 ESS XC33</t>
  </si>
  <si>
    <t>TURNING INSERT STAINLESS STEEL VNMG 160404 ESS XC33</t>
  </si>
  <si>
    <t>MILLING INSERT APKT 1003 PDTR XC62</t>
  </si>
  <si>
    <t>MILLING INSERT APKT 100308 PDTR XC62</t>
  </si>
  <si>
    <t>MILLING INSERT APKT 100316 PDTR XC62</t>
  </si>
  <si>
    <t>MILLING INSERT APKT 160412 PDTR XC62</t>
  </si>
  <si>
    <t>MILLING INSERT APKT 160416 PDTR XC62</t>
  </si>
  <si>
    <t>MILLING INSERT APKT 160424 PDTR XC62</t>
  </si>
  <si>
    <t>MILLING INSERT APKT 100305-ST XC62</t>
  </si>
  <si>
    <t>MILLING INSERT APKT 160408-ST XC62</t>
  </si>
  <si>
    <t>MILLING INSERT APMT 1604 PDER XC62</t>
  </si>
  <si>
    <t>MILLING INSERT APMT 1135 PDTR XC62</t>
  </si>
  <si>
    <t>MILLING INSERT APMT 1604 PDTR XC62</t>
  </si>
  <si>
    <t>MILLING INSERT APMT 113508 PDTR XC62</t>
  </si>
  <si>
    <t>MILLING INSERT SEKN 1203 AFTN XC62</t>
  </si>
  <si>
    <t>MILLING INSERT SEKR 1203 AFTN XC62</t>
  </si>
  <si>
    <t>MILLING INSERT SEKT 1204 AFTN XC62</t>
  </si>
  <si>
    <t>MILLING INSERT SEKT 12T3 AGTN XC62</t>
  </si>
  <si>
    <t>MILLING INSERT SEKT 13T3 AGTN XC62</t>
  </si>
  <si>
    <t>MILLING INSERT SEKT 1204-ST XC62</t>
  </si>
  <si>
    <t>MILLING INSERT SEKT 12T3-ST XC62</t>
  </si>
  <si>
    <t>MILLING INSERT SEMT 1204 AFTN XC62</t>
  </si>
  <si>
    <t>MILLING INSERT SEMT 13T3 AGSN XC62</t>
  </si>
  <si>
    <t>MILLING INSERT SPKN 1203 EDTR XC62</t>
  </si>
  <si>
    <t>MILLING INSERT SPKN 1504 EDTR XC62</t>
  </si>
  <si>
    <t>MILLING INSERT SPKR 1203 EDTR XC62</t>
  </si>
  <si>
    <t>MILLING INSERT TPKN 1603 PDTR XC62</t>
  </si>
  <si>
    <t>MILLING INSERT TPKN 2204 PDTR XC62</t>
  </si>
  <si>
    <t>MILLING INSERT TPKR 1603 PDTR XC62</t>
  </si>
  <si>
    <t>MILLING INSERT TPKR 2204 PDTR XC62</t>
  </si>
  <si>
    <t>MILLING INSERT SPUN 120308 XC62</t>
  </si>
  <si>
    <t>DRILLING INSERT GENERAL PURPOSE SPMX 050204 XC62</t>
  </si>
  <si>
    <t>DRILLING INSERT GENERAL PURPOSE SPMX 060204 XC62</t>
  </si>
  <si>
    <t>DRILLING INSERT GENERAL PURPOSE SPMX 07T308 XC62</t>
  </si>
  <si>
    <t>DRILLING INSERT GENERAL PURPOSE SPMX 090408 XC62</t>
  </si>
  <si>
    <t>DRILLING INSERT GENERAL PURPOSE SPMX 110408 XC62</t>
  </si>
  <si>
    <t>DRILLING INSERT GENERAL PURPOSE SPMX 140512 XC62</t>
  </si>
  <si>
    <t>DRILLING INSERT GENERAL PURPOSE WCMX 030208 XC62</t>
  </si>
  <si>
    <t>DRILLING INSERT GENERAL PURPOSE WCMX 040208 XC62</t>
  </si>
  <si>
    <t>DRILLING INSERT GENERAL PURPOSE WCMX 050308 XC62</t>
  </si>
  <si>
    <t>DRILLING INSERT GENERAL PURPOSE WCMX 06T308 XC62</t>
  </si>
  <si>
    <t>DRILLING INSERT GENERAL PURPOSE WCMX 080412 XC62</t>
  </si>
  <si>
    <t>TOOL HOLDERS</t>
  </si>
  <si>
    <t>781211011L</t>
  </si>
  <si>
    <t>10MM LEFT HAND TURNING TOOL HOLDER STGC L1010 H11</t>
  </si>
  <si>
    <t>781211011R</t>
  </si>
  <si>
    <t>10MM RIGHT HAND TURNING TOOL HOLDER STGC R1010 H11</t>
  </si>
  <si>
    <t>781211211L</t>
  </si>
  <si>
    <t>12MM LEFT HAND TURNING TOOL HOLDER STGC L1212 H11</t>
  </si>
  <si>
    <t>781211211R</t>
  </si>
  <si>
    <t>12MM RIGHT HAND TURNING TOOL HOLDER STGC R1212 H11</t>
  </si>
  <si>
    <t>781311616L</t>
  </si>
  <si>
    <t>16MM LEFT HAND TURNING TOOL HOLDER MTGN L1616 H16</t>
  </si>
  <si>
    <t>781311616R</t>
  </si>
  <si>
    <t>16MM RIGHT HAND TURNING TOOL HOLDER MTGN R1616 H16</t>
  </si>
  <si>
    <t>781312016L</t>
  </si>
  <si>
    <t>20MM LEFT HAND TURNING TOOL HOLDER MTGN L2020 K16</t>
  </si>
  <si>
    <t>781312016R</t>
  </si>
  <si>
    <t>20MM RIGHT HAND TURNING TOOL HOLDER MTGN R2020 K16</t>
  </si>
  <si>
    <t>781322008L</t>
  </si>
  <si>
    <t>20MM LEFT HAND TURNING TOOL HOLDER MWLN L2020 K08</t>
  </si>
  <si>
    <t>781322008R</t>
  </si>
  <si>
    <t>20MM RIGHT HAND TURNING TOOL HOLDER MWLN R2020 K08</t>
  </si>
  <si>
    <t>10MM BORING BAR S10M-STFCR-11</t>
  </si>
  <si>
    <t>12MM BORING BAR S12M-STFCR-11</t>
  </si>
  <si>
    <t>20MM BORING BAR S20R-MWLNR08</t>
  </si>
  <si>
    <t>HAND TOOLS</t>
  </si>
  <si>
    <t>CLAMPS</t>
  </si>
  <si>
    <t>200mm FX XTREME CLAMP 95MM DEPTH</t>
  </si>
  <si>
    <t>Hand Tools</t>
  </si>
  <si>
    <t>300mm FX XTREME CLAMP 95MM DEPTH</t>
  </si>
  <si>
    <t>200mm FX XTREME CLAMP 120MM DEPTH</t>
  </si>
  <si>
    <t>300mm FX XTREME CLAMP 120MM DEPTH</t>
  </si>
  <si>
    <t>400mm FX XTREME CLAMP 120MM DEPTH</t>
  </si>
  <si>
    <t>600mm FX XTREME CLAMP 120MM DEPTH</t>
  </si>
  <si>
    <t>800mm FX XTREME CLAMP 120MM DEPTH</t>
  </si>
  <si>
    <t>1000mm FX XTREME CLAMP 120MM DEPTH</t>
  </si>
  <si>
    <t>1200mm FX XTREME CLAMP 120MM DEPTH</t>
  </si>
  <si>
    <t>400mm FX XTREME CLAMP 140MM DEPTH</t>
  </si>
  <si>
    <t>600mm FX XTREME CLAMP 140MM DEPTH</t>
  </si>
  <si>
    <t>MAGNETIC JAWS FOR QUICK ACTION CLAMPS</t>
  </si>
  <si>
    <t>200mm EX EARTH XTREME CLAMP 95MM DEPTH</t>
  </si>
  <si>
    <t>300mm EX EARTH XTREME CLAMP 120MM DEPTH</t>
  </si>
  <si>
    <t>300mm FX XTREME CLAMP FOLDING HANDLE 120MM DEPTH</t>
  </si>
  <si>
    <t>400mm FX XTREME CLAMP FOLDING HANDLE 140MM DEPTH</t>
  </si>
  <si>
    <t>600mm FX XTREME CLAMP FOLDING HANDLE 120MM DEPTH</t>
  </si>
  <si>
    <t>600mm FX XTREME CLAMP FOLDING HANDLE 140MM DEPTH</t>
  </si>
  <si>
    <t>800mm FX XTREME CLAMP FOLDING HANDLE 140MM DEPTH</t>
  </si>
  <si>
    <t>XTREME GRIPLOCK PLIER - 250MM</t>
  </si>
  <si>
    <t>XTREME GRIPLOCK PLIER - 300MM</t>
  </si>
  <si>
    <t>XTREME MULTI-GRIPLOCK PLIERS - 250MM</t>
  </si>
  <si>
    <t>XTREME C-CLAMP GRIPLOCK PLIERS - 250MM</t>
  </si>
  <si>
    <t>XTREME C-CLAMP GRIPLOCK PLIERS W/SWIVEL PADS - 300MM</t>
  </si>
  <si>
    <t>XTREME WELDING GRIPLOCK PLIERS - 280MM</t>
  </si>
  <si>
    <t>XTREME GRIPLOCK PLIER - 175MM</t>
  </si>
  <si>
    <t>XTREME C-CLAMP GRIPLOCK PLIERS W/SWIVEL PADS - 350MM</t>
  </si>
  <si>
    <t>XTREME LONG NOSE GRIPLOCK PLIERS 230MM</t>
  </si>
  <si>
    <t>TCT METAL CUTTING BLADES</t>
  </si>
  <si>
    <t>12520254040TCTALU</t>
  </si>
  <si>
    <t>125 X 2.0 X 25.4 40Z TCT ALU BLADE</t>
  </si>
  <si>
    <t>TCT Metal Cutting Blades</t>
  </si>
  <si>
    <t>100 X 1.6/1.2 X 20 X 20T TCT DRY-CUT BLADE</t>
  </si>
  <si>
    <t>140 X 1.8/1.35 X 62 X 46T TCT DRY-CUT BLADE</t>
  </si>
  <si>
    <t>5111822034</t>
  </si>
  <si>
    <t>182 X 2.2/1.6 X 20 X 34T TCT DRY-CUT BLADE</t>
  </si>
  <si>
    <t>5111822048</t>
  </si>
  <si>
    <t>185 X 2.2/1.6 X 20 X 48T TCT DRY-CUT BLADE</t>
  </si>
  <si>
    <t>5112303044</t>
  </si>
  <si>
    <t>230 X 2.2/1.8 X 30 X 44T TCT DRY-CUT BLADE</t>
  </si>
  <si>
    <t>5112503054</t>
  </si>
  <si>
    <t>250 X 2.2/1.8 X 30 X 54T TCT DRY-CUT BLADE</t>
  </si>
  <si>
    <t>5113052560</t>
  </si>
  <si>
    <t>305 X 2.2/1.8 X 25.4 X 60T TCT DRY-CUT BLADE</t>
  </si>
  <si>
    <t>5113052580</t>
  </si>
  <si>
    <t>305 X 2.2/1.8 X 25.4 X 80T TCT DRY-CUT BLADE</t>
  </si>
  <si>
    <t>5113552572</t>
  </si>
  <si>
    <t>355 X 2.4/2.0 X 25.4 X 72T TCT DRY-CUT BLADE</t>
  </si>
  <si>
    <t>5113552590</t>
  </si>
  <si>
    <t>355 X 2.4/2.0 X 25.4 X 90T TCT DRY-CUT BLADE</t>
  </si>
  <si>
    <t>5153052572</t>
  </si>
  <si>
    <t>305 X 2.2/1.8 X 25.4 X 72T TCT STAINLESS BLADE</t>
  </si>
  <si>
    <t>5153552584</t>
  </si>
  <si>
    <t>355 X 2.4/2.0 X 25.4 X 84T TCT STAINLESS BLADE</t>
  </si>
  <si>
    <t>250 X 3.2/2.5 X 30 X 60T TCT ALU NF BLADE</t>
  </si>
  <si>
    <t>300 X 3.2/2.5 X 30 X 96T TCT ALU NF BLADE</t>
  </si>
  <si>
    <t>350 X 3.3/2.8 X 32 X 84T TCT ALU NF BLADE</t>
  </si>
  <si>
    <t>350 X 3.3/2.8 X 32 X 96T TCT ALU NF BLADE</t>
  </si>
  <si>
    <t>350 X 3.3/2.8 X 30 X 108T TCT ALU NF BLADE</t>
  </si>
  <si>
    <t>380 X 3.8/3.2 X 32 X 110T TCT ALU NF BLADE</t>
  </si>
  <si>
    <t>400 X 4.0/3.2 X 30 X 120T TCT ALU NF BLADE</t>
  </si>
  <si>
    <t>420 X 4.0/3.2 X 30 X 96T TCT ALU NF BLADE</t>
  </si>
  <si>
    <t>450 X 4.0/3.2 X 38.1 X 132T TCT ALU NF BLADE</t>
  </si>
  <si>
    <t>500 X 4.2/3.6 X 30 X 120T TCT ALU NF BLADE</t>
  </si>
  <si>
    <t>520 X 4.4/3.6 X 30 X 60T TCT ALU NF BLADE</t>
  </si>
  <si>
    <t>CERMET BLADES</t>
  </si>
  <si>
    <t>2852016032080TCT</t>
  </si>
  <si>
    <t>285x2.0/1.6x32 (4/11/63) 80Z TCT-CERMET BLADE</t>
  </si>
  <si>
    <t>4602722550060TCT</t>
  </si>
  <si>
    <t>460x2,7/2,25x50 (4/16/80+4/13/90) 60Z TCT-CERMET BLADE</t>
  </si>
  <si>
    <t>4602722550080TCT</t>
  </si>
  <si>
    <t>460x2,7/2,25x50 (4/16/80+4/13/90) 80Z TCT-CERMET BLADE</t>
  </si>
  <si>
    <t>4602722550100TCT</t>
  </si>
  <si>
    <t>460x2,7/2,25x50 (4/16/80+4/13/90) 100Z TCT-CERMET BLADE</t>
  </si>
  <si>
    <t>Excluding YG1</t>
  </si>
  <si>
    <t>WTS Sell Prices</t>
  </si>
  <si>
    <t>1 Buy Price</t>
  </si>
  <si>
    <t>5 + Buy</t>
  </si>
  <si>
    <t>10 + buy</t>
  </si>
  <si>
    <t>Excision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</si>
</sst>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&quot;$&quot;#,##0.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Tahoma"/>
      <family val="2"/>
    </font>
    <font>
      <b/>
      <sz val="14"/>
      <color indexed="8"/>
      <name val="Tahoma"/>
      <family val="2"/>
    </font>
    <font>
      <b/>
      <sz val="14"/>
      <color theme="1"/>
      <name val="Tahoma"/>
      <family val="2"/>
    </font>
    <font>
      <b/>
      <sz val="12"/>
      <color indexed="8"/>
      <name val="Tahoma"/>
      <family val="2"/>
    </font>
    <font>
      <sz val="12"/>
      <color theme="1"/>
      <name val="Tahoma"/>
      <family val="2"/>
    </font>
    <font>
      <sz val="12"/>
      <color indexed="8"/>
      <name val="Tahoma"/>
      <family val="2"/>
    </font>
    <font>
      <b/>
      <sz val="12"/>
      <color theme="1"/>
      <name val="Tahoma"/>
      <family val="2"/>
    </font>
    <font>
      <sz val="11"/>
      <color indexed="8"/>
      <name val="Tahoma"/>
      <family val="2"/>
    </font>
    <font>
      <b/>
      <sz val="11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/>
    <xf numFmtId="0" fontId="3" fillId="0" borderId="0"/>
  </cellStyleXfs>
  <cellXfs count="91">
    <xf numFmtId="0" fontId="0" fillId="0" borderId="0" xfId="0"/>
    <xf numFmtId="2" fontId="3" fillId="2" borderId="0" xfId="0" applyNumberFormat="1" applyFont="1" applyFill="1"/>
    <xf numFmtId="0" fontId="3" fillId="2" borderId="0" xfId="0" applyFont="1" applyFill="1"/>
    <xf numFmtId="49" fontId="4" fillId="0" borderId="0" xfId="0" applyNumberFormat="1" applyFont="1"/>
    <xf numFmtId="49" fontId="3" fillId="0" borderId="0" xfId="0" applyNumberFormat="1" applyFont="1"/>
    <xf numFmtId="0" fontId="3" fillId="0" borderId="0" xfId="0" applyFont="1"/>
    <xf numFmtId="49" fontId="5" fillId="0" borderId="0" xfId="0" applyNumberFormat="1" applyFont="1"/>
    <xf numFmtId="49" fontId="6" fillId="0" borderId="0" xfId="0" applyNumberFormat="1" applyFont="1"/>
    <xf numFmtId="49" fontId="7" fillId="0" borderId="0" xfId="0" applyNumberFormat="1" applyFont="1"/>
    <xf numFmtId="0" fontId="7" fillId="0" borderId="0" xfId="0" applyFont="1"/>
    <xf numFmtId="2" fontId="7" fillId="0" borderId="0" xfId="0" applyNumberFormat="1" applyFont="1"/>
    <xf numFmtId="49" fontId="8" fillId="0" borderId="0" xfId="0" applyNumberFormat="1" applyFont="1"/>
    <xf numFmtId="4" fontId="9" fillId="0" borderId="0" xfId="0" applyNumberFormat="1" applyFont="1"/>
    <xf numFmtId="49" fontId="10" fillId="0" borderId="0" xfId="0" applyNumberFormat="1" applyFont="1"/>
    <xf numFmtId="2" fontId="3" fillId="0" borderId="0" xfId="0" applyNumberFormat="1" applyFont="1"/>
    <xf numFmtId="4" fontId="11" fillId="0" borderId="0" xfId="0" applyNumberFormat="1" applyFont="1"/>
    <xf numFmtId="49" fontId="9" fillId="0" borderId="0" xfId="0" applyNumberFormat="1" applyFont="1"/>
    <xf numFmtId="0" fontId="5" fillId="0" borderId="0" xfId="0" applyFont="1"/>
    <xf numFmtId="49" fontId="11" fillId="0" borderId="0" xfId="0" applyNumberFormat="1" applyFont="1"/>
    <xf numFmtId="0" fontId="11" fillId="0" borderId="0" xfId="0" applyFont="1"/>
    <xf numFmtId="0" fontId="9" fillId="0" borderId="0" xfId="0" applyFont="1"/>
    <xf numFmtId="49" fontId="12" fillId="0" borderId="0" xfId="0" applyNumberFormat="1" applyFont="1"/>
    <xf numFmtId="0" fontId="13" fillId="0" borderId="0" xfId="0" applyFont="1"/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horizontal="right"/>
    </xf>
    <xf numFmtId="4" fontId="9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9" fontId="14" fillId="0" borderId="0" xfId="0" applyNumberFormat="1" applyFont="1"/>
    <xf numFmtId="0" fontId="7" fillId="0" borderId="0" xfId="2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7" fillId="2" borderId="0" xfId="0" applyFont="1" applyFill="1"/>
    <xf numFmtId="49" fontId="19" fillId="0" borderId="0" xfId="0" applyNumberFormat="1" applyFont="1"/>
    <xf numFmtId="49" fontId="20" fillId="0" borderId="0" xfId="0" applyNumberFormat="1" applyFont="1"/>
    <xf numFmtId="0" fontId="20" fillId="0" borderId="0" xfId="0" applyFont="1"/>
    <xf numFmtId="2" fontId="20" fillId="0" borderId="0" xfId="0" applyNumberFormat="1" applyFont="1"/>
    <xf numFmtId="49" fontId="21" fillId="0" borderId="0" xfId="0" applyNumberFormat="1" applyFont="1"/>
    <xf numFmtId="4" fontId="15" fillId="0" borderId="0" xfId="0" applyNumberFormat="1" applyFont="1"/>
    <xf numFmtId="0" fontId="0" fillId="3" borderId="0" xfId="0" applyFill="1"/>
    <xf numFmtId="4" fontId="2" fillId="3" borderId="0" xfId="1" applyNumberFormat="1" applyFont="1" applyFill="1" applyAlignment="1">
      <alignment horizontal="center" vertical="center" wrapText="1"/>
    </xf>
    <xf numFmtId="2" fontId="0" fillId="3" borderId="0" xfId="0" applyNumberFormat="1" applyFill="1"/>
    <xf numFmtId="0" fontId="15" fillId="4" borderId="1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165" fontId="15" fillId="4" borderId="17" xfId="0" applyNumberFormat="1" applyFont="1" applyFill="1" applyBorder="1"/>
    <xf numFmtId="165" fontId="15" fillId="4" borderId="18" xfId="0" applyNumberFormat="1" applyFont="1" applyFill="1" applyBorder="1"/>
    <xf numFmtId="165" fontId="15" fillId="4" borderId="19" xfId="0" applyNumberFormat="1" applyFont="1" applyFill="1" applyBorder="1"/>
    <xf numFmtId="165" fontId="15" fillId="4" borderId="20" xfId="0" applyNumberFormat="1" applyFont="1" applyFill="1" applyBorder="1"/>
    <xf numFmtId="165" fontId="15" fillId="4" borderId="10" xfId="0" applyNumberFormat="1" applyFont="1" applyFill="1" applyBorder="1"/>
    <xf numFmtId="165" fontId="15" fillId="4" borderId="21" xfId="0" applyNumberFormat="1" applyFont="1" applyFill="1" applyBorder="1"/>
    <xf numFmtId="165" fontId="15" fillId="4" borderId="22" xfId="0" applyNumberFormat="1" applyFont="1" applyFill="1" applyBorder="1"/>
    <xf numFmtId="165" fontId="15" fillId="4" borderId="23" xfId="0" applyNumberFormat="1" applyFont="1" applyFill="1" applyBorder="1"/>
    <xf numFmtId="165" fontId="15" fillId="4" borderId="24" xfId="0" applyNumberFormat="1" applyFont="1" applyFill="1" applyBorder="1"/>
    <xf numFmtId="0" fontId="16" fillId="0" borderId="0" xfId="0" applyFont="1"/>
    <xf numFmtId="165" fontId="16" fillId="4" borderId="26" xfId="0" applyNumberFormat="1" applyFont="1" applyFill="1" applyBorder="1"/>
    <xf numFmtId="165" fontId="16" fillId="4" borderId="27" xfId="0" applyNumberFormat="1" applyFont="1" applyFill="1" applyBorder="1"/>
    <xf numFmtId="165" fontId="16" fillId="4" borderId="28" xfId="0" applyNumberFormat="1" applyFont="1" applyFill="1" applyBorder="1"/>
    <xf numFmtId="0" fontId="22" fillId="3" borderId="10" xfId="0" applyFont="1" applyFill="1" applyBorder="1" applyAlignment="1">
      <alignment horizontal="left"/>
    </xf>
    <xf numFmtId="49" fontId="4" fillId="0" borderId="2" xfId="0" applyNumberFormat="1" applyFont="1" applyBorder="1"/>
    <xf numFmtId="49" fontId="3" fillId="0" borderId="3" xfId="0" applyNumberFormat="1" applyFont="1" applyBorder="1"/>
    <xf numFmtId="0" fontId="3" fillId="0" borderId="4" xfId="0" applyFont="1" applyBorder="1"/>
    <xf numFmtId="49" fontId="9" fillId="0" borderId="5" xfId="0" applyNumberFormat="1" applyFont="1" applyBorder="1"/>
    <xf numFmtId="0" fontId="7" fillId="0" borderId="6" xfId="0" applyFont="1" applyBorder="1"/>
    <xf numFmtId="49" fontId="6" fillId="0" borderId="7" xfId="0" applyNumberFormat="1" applyFont="1" applyBorder="1"/>
    <xf numFmtId="49" fontId="7" fillId="0" borderId="8" xfId="0" applyNumberFormat="1" applyFont="1" applyBorder="1"/>
    <xf numFmtId="0" fontId="7" fillId="0" borderId="9" xfId="0" applyFont="1" applyBorder="1"/>
    <xf numFmtId="0" fontId="23" fillId="4" borderId="2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18" fillId="3" borderId="10" xfId="0" applyNumberFormat="1" applyFont="1" applyFill="1" applyBorder="1" applyAlignment="1">
      <alignment horizontal="center"/>
    </xf>
    <xf numFmtId="49" fontId="19" fillId="3" borderId="10" xfId="0" applyNumberFormat="1" applyFont="1" applyFill="1" applyBorder="1" applyAlignment="1">
      <alignment horizontal="center"/>
    </xf>
    <xf numFmtId="49" fontId="16" fillId="3" borderId="11" xfId="0" applyNumberFormat="1" applyFont="1" applyFill="1" applyBorder="1" applyAlignment="1">
      <alignment horizontal="center" vertical="center"/>
    </xf>
    <xf numFmtId="49" fontId="16" fillId="3" borderId="13" xfId="0" applyNumberFormat="1" applyFont="1" applyFill="1" applyBorder="1" applyAlignment="1">
      <alignment horizontal="center" vertical="center"/>
    </xf>
    <xf numFmtId="49" fontId="16" fillId="3" borderId="14" xfId="0" applyNumberFormat="1" applyFont="1" applyFill="1" applyBorder="1" applyAlignment="1">
      <alignment horizontal="center" vertical="center"/>
    </xf>
    <xf numFmtId="49" fontId="16" fillId="3" borderId="16" xfId="0" applyNumberFormat="1" applyFont="1" applyFill="1" applyBorder="1" applyAlignment="1">
      <alignment horizontal="center" vertical="center"/>
    </xf>
    <xf numFmtId="2" fontId="16" fillId="3" borderId="11" xfId="0" applyNumberFormat="1" applyFont="1" applyFill="1" applyBorder="1" applyAlignment="1">
      <alignment horizontal="center" vertical="center"/>
    </xf>
    <xf numFmtId="2" fontId="16" fillId="3" borderId="13" xfId="0" applyNumberFormat="1" applyFont="1" applyFill="1" applyBorder="1" applyAlignment="1">
      <alignment horizontal="center" vertical="center"/>
    </xf>
    <xf numFmtId="2" fontId="16" fillId="3" borderId="14" xfId="0" applyNumberFormat="1" applyFont="1" applyFill="1" applyBorder="1" applyAlignment="1">
      <alignment horizontal="center" vertical="center"/>
    </xf>
    <xf numFmtId="2" fontId="16" fillId="3" borderId="16" xfId="0" applyNumberFormat="1" applyFont="1" applyFill="1" applyBorder="1" applyAlignment="1">
      <alignment horizontal="center" vertical="center"/>
    </xf>
    <xf numFmtId="2" fontId="16" fillId="3" borderId="12" xfId="0" applyNumberFormat="1" applyFont="1" applyFill="1" applyBorder="1" applyAlignment="1">
      <alignment horizontal="center" vertical="center"/>
    </xf>
    <xf numFmtId="2" fontId="16" fillId="3" borderId="15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1" xfId="0" applyFont="1" applyBorder="1" applyAlignment="1">
      <alignment horizontal="center"/>
    </xf>
  </cellXfs>
  <cellStyles count="3">
    <cellStyle name="Normal" xfId="0" builtinId="0"/>
    <cellStyle name="Normal 2" xfId="2" xr:uid="{189E1629-4B3E-450E-B05E-BDD8C28F8832}"/>
    <cellStyle name="Normal 4" xfId="1" xr:uid="{8669006C-B601-4C8B-A1A5-BF6416CCFA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ice%20List%20_%20LATEST\2024%20Pricelists\EXCISION.xlsx" TargetMode="External"/><Relationship Id="rId1" Type="http://schemas.openxmlformats.org/officeDocument/2006/relationships/externalLinkPath" Target="/Price%20List%20_%20LATEST/2024%20Pricelists/EXCIS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isionsaws.sharepoint.com/sites/CompanyShares/Shared%20Documents/Marketing/Price%20List/2022_Master_Price_List/August%20Increase/Customer%20Lists/Sent/EXCISION_Excel_Price_List_1.8.22_Rocket%20Too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counts page"/>
      <sheetName val="Sheet1"/>
      <sheetName val="General Price List"/>
    </sheetNames>
    <sheetDataSet>
      <sheetData sheetId="0">
        <row r="9">
          <cell r="D9">
            <v>0.6</v>
          </cell>
        </row>
        <row r="10">
          <cell r="D10">
            <v>0.45</v>
          </cell>
        </row>
        <row r="11">
          <cell r="D11">
            <v>0.3</v>
          </cell>
        </row>
        <row r="12">
          <cell r="D12">
            <v>0.45</v>
          </cell>
        </row>
        <row r="13">
          <cell r="D13">
            <v>0.4</v>
          </cell>
        </row>
        <row r="14">
          <cell r="D14">
            <v>0.2</v>
          </cell>
        </row>
        <row r="15">
          <cell r="D15">
            <v>0.4</v>
          </cell>
        </row>
        <row r="16">
          <cell r="D16">
            <v>0.25</v>
          </cell>
        </row>
        <row r="17">
          <cell r="D17">
            <v>0.25</v>
          </cell>
        </row>
        <row r="18">
          <cell r="D18">
            <v>0.45</v>
          </cell>
        </row>
        <row r="19">
          <cell r="D19">
            <v>0.25</v>
          </cell>
        </row>
        <row r="20">
          <cell r="D20">
            <v>0.4</v>
          </cell>
        </row>
        <row r="21">
          <cell r="D21">
            <v>0.4</v>
          </cell>
        </row>
        <row r="22">
          <cell r="D22">
            <v>0.4</v>
          </cell>
        </row>
        <row r="23">
          <cell r="D23">
            <v>0.4</v>
          </cell>
        </row>
        <row r="24">
          <cell r="D24">
            <v>0.55000000000000004</v>
          </cell>
        </row>
        <row r="26">
          <cell r="D26">
            <v>0.25</v>
          </cell>
        </row>
        <row r="28">
          <cell r="D28">
            <v>0.15</v>
          </cell>
        </row>
        <row r="29">
          <cell r="D29">
            <v>0.2</v>
          </cell>
        </row>
        <row r="30">
          <cell r="D30">
            <v>0.4</v>
          </cell>
        </row>
        <row r="31">
          <cell r="D31">
            <v>0.3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unts page"/>
      <sheetName val="Sheet1"/>
      <sheetName val="General Price List"/>
    </sheetNames>
    <sheetDataSet>
      <sheetData sheetId="0" refreshError="1">
        <row r="30">
          <cell r="D30">
            <v>0.4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FE93-F743-401F-BD1C-6F09E1E18A23}">
  <dimension ref="A1:L1762"/>
  <sheetViews>
    <sheetView tabSelected="1" workbookViewId="0">
      <selection activeCell="K2" sqref="K2"/>
    </sheetView>
  </sheetViews>
  <sheetFormatPr defaultRowHeight="15" x14ac:dyDescent="0.25"/>
  <cols>
    <col min="1" max="2" width="20.7109375" customWidth="1"/>
    <col min="3" max="3" width="24.140625" customWidth="1"/>
    <col min="4" max="9" width="13.7109375" hidden="1" customWidth="1"/>
    <col min="10" max="15" width="13.7109375" customWidth="1"/>
  </cols>
  <sheetData>
    <row r="1" spans="1:12" ht="15.75" thickBot="1" x14ac:dyDescent="0.3"/>
    <row r="2" spans="1:12" ht="24.75" thickBot="1" x14ac:dyDescent="0.45">
      <c r="B2" s="88"/>
      <c r="C2" s="90" t="s">
        <v>2221</v>
      </c>
      <c r="D2" s="89"/>
      <c r="E2" s="89"/>
      <c r="F2" s="89"/>
      <c r="G2" s="88"/>
      <c r="H2" s="88"/>
      <c r="I2" s="88"/>
      <c r="J2" s="88"/>
    </row>
    <row r="3" spans="1:12" x14ac:dyDescent="0.25">
      <c r="C3" s="75" t="s">
        <v>2216</v>
      </c>
      <c r="D3" s="75"/>
      <c r="E3" s="75"/>
      <c r="F3" s="75"/>
    </row>
    <row r="4" spans="1:12" ht="15.75" thickBot="1" x14ac:dyDescent="0.3"/>
    <row r="5" spans="1:12" ht="18.75" customHeight="1" x14ac:dyDescent="0.25">
      <c r="A5" s="39"/>
      <c r="B5" s="39"/>
      <c r="C5" s="39"/>
      <c r="D5" s="39"/>
      <c r="E5" s="39"/>
      <c r="F5" s="39"/>
      <c r="G5" s="39"/>
      <c r="H5" s="39"/>
      <c r="I5" s="39"/>
      <c r="J5" s="66" t="s">
        <v>2217</v>
      </c>
      <c r="K5" s="67"/>
      <c r="L5" s="68"/>
    </row>
    <row r="6" spans="1:12" ht="15" customHeight="1" x14ac:dyDescent="0.3">
      <c r="A6" s="57" t="s">
        <v>0</v>
      </c>
      <c r="B6" s="57" t="s">
        <v>1</v>
      </c>
      <c r="C6" s="57" t="s">
        <v>2</v>
      </c>
      <c r="D6" s="40"/>
      <c r="E6" s="40"/>
      <c r="F6" s="41"/>
      <c r="G6" s="39"/>
      <c r="H6" s="39"/>
      <c r="I6" s="39"/>
      <c r="J6" s="69"/>
      <c r="K6" s="70"/>
      <c r="L6" s="71"/>
    </row>
    <row r="7" spans="1:12" ht="18.75" customHeight="1" thickBot="1" x14ac:dyDescent="0.35">
      <c r="A7" s="76" t="s">
        <v>3</v>
      </c>
      <c r="B7" s="76"/>
      <c r="C7" s="76"/>
      <c r="D7" s="78" t="s">
        <v>4</v>
      </c>
      <c r="E7" s="79"/>
      <c r="F7" s="82" t="s">
        <v>5</v>
      </c>
      <c r="G7" s="83"/>
      <c r="H7" s="82" t="s">
        <v>6</v>
      </c>
      <c r="I7" s="86"/>
      <c r="J7" s="72"/>
      <c r="K7" s="73"/>
      <c r="L7" s="74"/>
    </row>
    <row r="8" spans="1:12" ht="15.75" customHeight="1" thickBot="1" x14ac:dyDescent="0.3">
      <c r="A8" s="77" t="s">
        <v>7</v>
      </c>
      <c r="B8" s="77"/>
      <c r="C8" s="77"/>
      <c r="D8" s="80"/>
      <c r="E8" s="81"/>
      <c r="F8" s="84"/>
      <c r="G8" s="85"/>
      <c r="H8" s="84"/>
      <c r="I8" s="87"/>
      <c r="J8" s="42" t="s">
        <v>2218</v>
      </c>
      <c r="K8" s="42" t="s">
        <v>2219</v>
      </c>
      <c r="L8" s="43" t="s">
        <v>2220</v>
      </c>
    </row>
    <row r="9" spans="1:12" ht="15.75" x14ac:dyDescent="0.25">
      <c r="A9" s="37">
        <v>1525</v>
      </c>
      <c r="B9" s="34"/>
      <c r="C9" s="35" t="s">
        <v>8</v>
      </c>
      <c r="D9" s="36">
        <v>69.21052364800002</v>
      </c>
      <c r="E9" s="38">
        <f>D9*(1-'[1]Discounts page'!D$9)</f>
        <v>27.684209459200009</v>
      </c>
      <c r="F9" s="36">
        <v>62.289471283200022</v>
      </c>
      <c r="G9" s="38">
        <f>F9*(1-'[1]Discounts page'!D$9)</f>
        <v>24.91578851328001</v>
      </c>
      <c r="H9" s="36">
        <v>58.828945100800013</v>
      </c>
      <c r="I9" s="38">
        <f>H9*(1-'[1]Discounts page'!D$9)</f>
        <v>23.531578040320007</v>
      </c>
      <c r="J9" s="44">
        <f>ROUNDUP(E9*1.6,0)</f>
        <v>45</v>
      </c>
      <c r="K9" s="45">
        <f t="shared" ref="K9:K72" si="0">ROUNDUP(G9*1.55,0)</f>
        <v>39</v>
      </c>
      <c r="L9" s="46">
        <f>ROUNDUP(I9*1.5,0)</f>
        <v>36</v>
      </c>
    </row>
    <row r="10" spans="1:12" ht="15.75" x14ac:dyDescent="0.25">
      <c r="A10" s="37">
        <v>1680</v>
      </c>
      <c r="B10" s="34"/>
      <c r="C10" s="35" t="s">
        <v>8</v>
      </c>
      <c r="D10" s="36">
        <v>73.650966186666679</v>
      </c>
      <c r="E10" s="38">
        <f>D10*(1-'[1]Discounts page'!D$9)</f>
        <v>29.460386474666674</v>
      </c>
      <c r="F10" s="36">
        <v>66.28586956800001</v>
      </c>
      <c r="G10" s="38">
        <f>F10*(1-'[1]Discounts page'!D$9)</f>
        <v>26.514347827200005</v>
      </c>
      <c r="H10" s="36">
        <v>62.603321258666675</v>
      </c>
      <c r="I10" s="38">
        <f>H10*(1-'[1]Discounts page'!D$9)</f>
        <v>25.041328503466673</v>
      </c>
      <c r="J10" s="47">
        <f t="shared" ref="J10:J73" si="1">ROUNDUP(E10*1.6,0)</f>
        <v>48</v>
      </c>
      <c r="K10" s="48">
        <f t="shared" si="0"/>
        <v>42</v>
      </c>
      <c r="L10" s="49">
        <f t="shared" ref="L10:L73" si="2">ROUNDUP(I10*1.5,0)</f>
        <v>38</v>
      </c>
    </row>
    <row r="11" spans="1:12" ht="15.75" x14ac:dyDescent="0.25">
      <c r="A11" s="37">
        <v>1830</v>
      </c>
      <c r="B11" s="34"/>
      <c r="C11" s="35" t="s">
        <v>8</v>
      </c>
      <c r="D11" s="36">
        <v>81.94993420444446</v>
      </c>
      <c r="E11" s="38">
        <f>D11*(1-'[1]Discounts page'!D$9)</f>
        <v>32.779973681777783</v>
      </c>
      <c r="F11" s="36">
        <v>73.754940784000013</v>
      </c>
      <c r="G11" s="38">
        <f>F11*(1-'[1]Discounts page'!D$9)</f>
        <v>29.501976313600007</v>
      </c>
      <c r="H11" s="36">
        <v>69.657444073777796</v>
      </c>
      <c r="I11" s="38">
        <f>H11*(1-'[1]Discounts page'!D$9)</f>
        <v>27.862977629511121</v>
      </c>
      <c r="J11" s="47">
        <f t="shared" si="1"/>
        <v>53</v>
      </c>
      <c r="K11" s="48">
        <f t="shared" si="0"/>
        <v>46</v>
      </c>
      <c r="L11" s="49">
        <f t="shared" si="2"/>
        <v>42</v>
      </c>
    </row>
    <row r="12" spans="1:12" ht="15.75" x14ac:dyDescent="0.25">
      <c r="A12" s="37" t="s">
        <v>9</v>
      </c>
      <c r="B12" s="34"/>
      <c r="C12" s="35" t="s">
        <v>8</v>
      </c>
      <c r="D12" s="36">
        <v>88.691314272000014</v>
      </c>
      <c r="E12" s="38">
        <f>D12*(1-'[1]Discounts page'!D$9)</f>
        <v>35.476525708800004</v>
      </c>
      <c r="F12" s="36">
        <v>79.822182844800011</v>
      </c>
      <c r="G12" s="38">
        <f>F12*(1-'[1]Discounts page'!D$9)</f>
        <v>31.928873137920007</v>
      </c>
      <c r="H12" s="36">
        <v>75.387617131200017</v>
      </c>
      <c r="I12" s="38">
        <f>H12*(1-'[1]Discounts page'!D$9)</f>
        <v>30.155046852480009</v>
      </c>
      <c r="J12" s="47">
        <f t="shared" si="1"/>
        <v>57</v>
      </c>
      <c r="K12" s="48">
        <f t="shared" si="0"/>
        <v>50</v>
      </c>
      <c r="L12" s="49">
        <f t="shared" si="2"/>
        <v>46</v>
      </c>
    </row>
    <row r="13" spans="1:12" ht="15.75" x14ac:dyDescent="0.25">
      <c r="A13" s="37">
        <v>2135</v>
      </c>
      <c r="B13" s="34"/>
      <c r="C13" s="35" t="s">
        <v>8</v>
      </c>
      <c r="D13" s="36">
        <v>94.041780223999993</v>
      </c>
      <c r="E13" s="38">
        <f>D13*(1-'[1]Discounts page'!D$9)</f>
        <v>37.6167120896</v>
      </c>
      <c r="F13" s="36">
        <v>84.637602201599989</v>
      </c>
      <c r="G13" s="38">
        <f>F13*(1-'[1]Discounts page'!D$9)</f>
        <v>33.855040880639997</v>
      </c>
      <c r="H13" s="36">
        <v>79.935513190399988</v>
      </c>
      <c r="I13" s="38">
        <f>H13*(1-'[1]Discounts page'!D$9)</f>
        <v>31.974205276159996</v>
      </c>
      <c r="J13" s="47">
        <f t="shared" si="1"/>
        <v>61</v>
      </c>
      <c r="K13" s="48">
        <f t="shared" si="0"/>
        <v>53</v>
      </c>
      <c r="L13" s="49">
        <f t="shared" si="2"/>
        <v>48</v>
      </c>
    </row>
    <row r="14" spans="1:12" ht="15.75" x14ac:dyDescent="0.25">
      <c r="A14" s="37">
        <v>2290</v>
      </c>
      <c r="B14" s="34"/>
      <c r="C14" s="35" t="s">
        <v>8</v>
      </c>
      <c r="D14" s="36">
        <v>99.216924170666672</v>
      </c>
      <c r="E14" s="38">
        <f>D14*(1-'[1]Discounts page'!D$9)</f>
        <v>39.68676966826667</v>
      </c>
      <c r="F14" s="36">
        <v>89.295231753600007</v>
      </c>
      <c r="G14" s="38">
        <f>F14*(1-'[1]Discounts page'!D$9)</f>
        <v>35.718092701440007</v>
      </c>
      <c r="H14" s="36">
        <v>84.334385545066667</v>
      </c>
      <c r="I14" s="38">
        <f>H14*(1-'[1]Discounts page'!D$9)</f>
        <v>33.733754218026668</v>
      </c>
      <c r="J14" s="47">
        <f t="shared" si="1"/>
        <v>64</v>
      </c>
      <c r="K14" s="48">
        <f t="shared" si="0"/>
        <v>56</v>
      </c>
      <c r="L14" s="49">
        <f t="shared" si="2"/>
        <v>51</v>
      </c>
    </row>
    <row r="15" spans="1:12" ht="15.75" x14ac:dyDescent="0.25">
      <c r="A15" s="37">
        <v>2440</v>
      </c>
      <c r="B15" s="34"/>
      <c r="C15" s="35" t="s">
        <v>8</v>
      </c>
      <c r="D15" s="36">
        <v>105.08863895466668</v>
      </c>
      <c r="E15" s="38">
        <f>D15*(1-'[1]Discounts page'!D$9)</f>
        <v>42.035455581866671</v>
      </c>
      <c r="F15" s="36">
        <v>94.579775059200017</v>
      </c>
      <c r="G15" s="38">
        <f>F15*(1-'[1]Discounts page'!D$9)</f>
        <v>37.83191002368001</v>
      </c>
      <c r="H15" s="36">
        <v>89.32534311146668</v>
      </c>
      <c r="I15" s="38">
        <f>H15*(1-'[1]Discounts page'!D$9)</f>
        <v>35.730137244586672</v>
      </c>
      <c r="J15" s="47">
        <f t="shared" si="1"/>
        <v>68</v>
      </c>
      <c r="K15" s="48">
        <f t="shared" si="0"/>
        <v>59</v>
      </c>
      <c r="L15" s="49">
        <f t="shared" si="2"/>
        <v>54</v>
      </c>
    </row>
    <row r="16" spans="1:12" ht="15.75" x14ac:dyDescent="0.25">
      <c r="A16" s="37">
        <v>2590</v>
      </c>
      <c r="B16" s="34"/>
      <c r="C16" s="35" t="s">
        <v>8</v>
      </c>
      <c r="D16" s="36">
        <v>110.50868337066666</v>
      </c>
      <c r="E16" s="38">
        <f>D16*(1-'[1]Discounts page'!D$9)</f>
        <v>44.20347334826667</v>
      </c>
      <c r="F16" s="36">
        <v>99.457815033599999</v>
      </c>
      <c r="G16" s="38">
        <f>F16*(1-'[1]Discounts page'!D$9)</f>
        <v>39.783126013440004</v>
      </c>
      <c r="H16" s="36">
        <v>93.932380865066662</v>
      </c>
      <c r="I16" s="38">
        <f>H16*(1-'[1]Discounts page'!D$9)</f>
        <v>37.572952346026668</v>
      </c>
      <c r="J16" s="47">
        <f t="shared" si="1"/>
        <v>71</v>
      </c>
      <c r="K16" s="48">
        <f t="shared" si="0"/>
        <v>62</v>
      </c>
      <c r="L16" s="49">
        <f t="shared" si="2"/>
        <v>57</v>
      </c>
    </row>
    <row r="17" spans="1:12" ht="15.75" x14ac:dyDescent="0.25">
      <c r="A17" s="37">
        <v>2745</v>
      </c>
      <c r="B17" s="34"/>
      <c r="C17" s="35" t="s">
        <v>8</v>
      </c>
      <c r="D17" s="36">
        <v>116.38039815466669</v>
      </c>
      <c r="E17" s="38">
        <f>D17*(1-'[1]Discounts page'!D$9)</f>
        <v>46.552159261866677</v>
      </c>
      <c r="F17" s="36">
        <v>104.74235833920002</v>
      </c>
      <c r="G17" s="38">
        <f>F17*(1-'[1]Discounts page'!D$9)</f>
        <v>41.896943335680014</v>
      </c>
      <c r="H17" s="36">
        <v>98.923338431466689</v>
      </c>
      <c r="I17" s="38">
        <f>H17*(1-'[1]Discounts page'!D$9)</f>
        <v>39.569335372586679</v>
      </c>
      <c r="J17" s="47">
        <f t="shared" si="1"/>
        <v>75</v>
      </c>
      <c r="K17" s="48">
        <f t="shared" si="0"/>
        <v>65</v>
      </c>
      <c r="L17" s="49">
        <f t="shared" si="2"/>
        <v>60</v>
      </c>
    </row>
    <row r="18" spans="1:12" ht="15.75" x14ac:dyDescent="0.25">
      <c r="A18" s="37">
        <v>2895</v>
      </c>
      <c r="B18" s="34"/>
      <c r="C18" s="35" t="s">
        <v>8</v>
      </c>
      <c r="D18" s="36">
        <v>121.95099936000001</v>
      </c>
      <c r="E18" s="38">
        <f>D18*(1-'[1]Discounts page'!D$9)</f>
        <v>48.780399744000007</v>
      </c>
      <c r="F18" s="36">
        <v>109.75589942400001</v>
      </c>
      <c r="G18" s="38">
        <f>F18*(1-'[1]Discounts page'!D$9)</f>
        <v>43.902359769600004</v>
      </c>
      <c r="H18" s="36">
        <v>103.65834945600001</v>
      </c>
      <c r="I18" s="38">
        <f>H18*(1-'[1]Discounts page'!D$9)</f>
        <v>41.463339782400006</v>
      </c>
      <c r="J18" s="47">
        <f t="shared" si="1"/>
        <v>79</v>
      </c>
      <c r="K18" s="48">
        <f t="shared" si="0"/>
        <v>69</v>
      </c>
      <c r="L18" s="49">
        <f t="shared" si="2"/>
        <v>63</v>
      </c>
    </row>
    <row r="19" spans="1:12" ht="15.75" x14ac:dyDescent="0.25">
      <c r="A19" s="37">
        <v>3050</v>
      </c>
      <c r="B19" s="34"/>
      <c r="C19" s="35" t="s">
        <v>8</v>
      </c>
      <c r="D19" s="36">
        <v>127.97327093333335</v>
      </c>
      <c r="E19" s="38">
        <f>D19*(1-'[1]Discounts page'!D$9)</f>
        <v>51.189308373333347</v>
      </c>
      <c r="F19" s="36">
        <v>115.17594384000002</v>
      </c>
      <c r="G19" s="38">
        <f>F19*(1-'[1]Discounts page'!D$9)</f>
        <v>46.070377536000009</v>
      </c>
      <c r="H19" s="36">
        <v>108.77728029333335</v>
      </c>
      <c r="I19" s="38">
        <f>H19*(1-'[1]Discounts page'!D$9)</f>
        <v>43.510912117333341</v>
      </c>
      <c r="J19" s="47">
        <f t="shared" si="1"/>
        <v>82</v>
      </c>
      <c r="K19" s="48">
        <f t="shared" si="0"/>
        <v>72</v>
      </c>
      <c r="L19" s="49">
        <f t="shared" si="2"/>
        <v>66</v>
      </c>
    </row>
    <row r="20" spans="1:12" ht="15.75" x14ac:dyDescent="0.25">
      <c r="A20" s="37">
        <v>3200</v>
      </c>
      <c r="B20" s="34"/>
      <c r="C20" s="35" t="s">
        <v>8</v>
      </c>
      <c r="D20" s="36">
        <v>133.69442892800001</v>
      </c>
      <c r="E20" s="38">
        <f>D20*(1-'[1]Discounts page'!D$9)</f>
        <v>53.477771571200009</v>
      </c>
      <c r="F20" s="36">
        <v>120.32498603520001</v>
      </c>
      <c r="G20" s="38">
        <f>F20*(1-'[1]Discounts page'!D$9)</f>
        <v>48.129994414080009</v>
      </c>
      <c r="H20" s="36">
        <v>113.64026458880001</v>
      </c>
      <c r="I20" s="38">
        <f>H20*(1-'[1]Discounts page'!D$9)</f>
        <v>45.456105835520006</v>
      </c>
      <c r="J20" s="47">
        <f t="shared" si="1"/>
        <v>86</v>
      </c>
      <c r="K20" s="48">
        <f t="shared" si="0"/>
        <v>75</v>
      </c>
      <c r="L20" s="49">
        <f t="shared" si="2"/>
        <v>69</v>
      </c>
    </row>
    <row r="21" spans="1:12" ht="15.75" x14ac:dyDescent="0.25">
      <c r="A21" s="37">
        <v>3355</v>
      </c>
      <c r="B21" s="34"/>
      <c r="C21" s="35" t="s">
        <v>8</v>
      </c>
      <c r="D21" s="36">
        <v>139.41558692266668</v>
      </c>
      <c r="E21" s="38">
        <f>D21*(1-'[1]Discounts page'!D$9)</f>
        <v>55.766234769066671</v>
      </c>
      <c r="F21" s="36">
        <v>125.47402823040001</v>
      </c>
      <c r="G21" s="38">
        <f>F21*(1-'[1]Discounts page'!D$9)</f>
        <v>50.189611292160009</v>
      </c>
      <c r="H21" s="36">
        <v>118.50324888426667</v>
      </c>
      <c r="I21" s="38">
        <f>H21*(1-'[1]Discounts page'!D$9)</f>
        <v>47.401299553706671</v>
      </c>
      <c r="J21" s="47">
        <f t="shared" si="1"/>
        <v>90</v>
      </c>
      <c r="K21" s="48">
        <f t="shared" si="0"/>
        <v>78</v>
      </c>
      <c r="L21" s="49">
        <f t="shared" si="2"/>
        <v>72</v>
      </c>
    </row>
    <row r="22" spans="1:12" ht="15.75" x14ac:dyDescent="0.25">
      <c r="A22" s="37">
        <v>3510</v>
      </c>
      <c r="B22" s="34"/>
      <c r="C22" s="35" t="s">
        <v>8</v>
      </c>
      <c r="D22" s="36">
        <v>144.83563133866667</v>
      </c>
      <c r="E22" s="38">
        <f>D22*(1-'[1]Discounts page'!D$9)</f>
        <v>57.934252535466669</v>
      </c>
      <c r="F22" s="36">
        <v>130.35206820480002</v>
      </c>
      <c r="G22" s="38">
        <f>F22*(1-'[1]Discounts page'!D$9)</f>
        <v>52.140827281920011</v>
      </c>
      <c r="H22" s="36">
        <v>123.11028663786666</v>
      </c>
      <c r="I22" s="38">
        <f>H22*(1-'[1]Discounts page'!D$9)</f>
        <v>49.244114655146667</v>
      </c>
      <c r="J22" s="47">
        <f t="shared" si="1"/>
        <v>93</v>
      </c>
      <c r="K22" s="48">
        <f t="shared" si="0"/>
        <v>81</v>
      </c>
      <c r="L22" s="49">
        <f t="shared" si="2"/>
        <v>74</v>
      </c>
    </row>
    <row r="23" spans="1:12" ht="15.75" x14ac:dyDescent="0.25">
      <c r="A23" s="37">
        <v>3660</v>
      </c>
      <c r="B23" s="34"/>
      <c r="C23" s="35" t="s">
        <v>8</v>
      </c>
      <c r="D23" s="36">
        <v>150.55678933333337</v>
      </c>
      <c r="E23" s="38">
        <f>D23*(1-'[1]Discounts page'!D$9)</f>
        <v>60.222715733333352</v>
      </c>
      <c r="F23" s="36">
        <v>135.50111040000004</v>
      </c>
      <c r="G23" s="38">
        <f>F23*(1-'[1]Discounts page'!D$9)</f>
        <v>54.200444160000018</v>
      </c>
      <c r="H23" s="36">
        <v>127.97327093333337</v>
      </c>
      <c r="I23" s="38">
        <f>H23*(1-'[1]Discounts page'!D$9)</f>
        <v>51.189308373333347</v>
      </c>
      <c r="J23" s="47">
        <f t="shared" si="1"/>
        <v>97</v>
      </c>
      <c r="K23" s="48">
        <f t="shared" si="0"/>
        <v>85</v>
      </c>
      <c r="L23" s="49">
        <f t="shared" si="2"/>
        <v>77</v>
      </c>
    </row>
    <row r="24" spans="1:12" ht="15.75" x14ac:dyDescent="0.25">
      <c r="A24" s="37">
        <v>3810</v>
      </c>
      <c r="B24" s="34"/>
      <c r="C24" s="35" t="s">
        <v>8</v>
      </c>
      <c r="D24" s="36">
        <v>156.12739053866667</v>
      </c>
      <c r="E24" s="38">
        <f>D24*(1-'[1]Discounts page'!D$9)</f>
        <v>62.450956215466675</v>
      </c>
      <c r="F24" s="36">
        <v>140.5146514848</v>
      </c>
      <c r="G24" s="38">
        <f>F24*(1-'[1]Discounts page'!D$9)</f>
        <v>56.205860593920001</v>
      </c>
      <c r="H24" s="36">
        <v>132.70828195786666</v>
      </c>
      <c r="I24" s="38">
        <f>H24*(1-'[1]Discounts page'!D$9)</f>
        <v>53.083312783146667</v>
      </c>
      <c r="J24" s="47">
        <f t="shared" si="1"/>
        <v>100</v>
      </c>
      <c r="K24" s="48">
        <f t="shared" si="0"/>
        <v>88</v>
      </c>
      <c r="L24" s="49">
        <f t="shared" si="2"/>
        <v>80</v>
      </c>
    </row>
    <row r="25" spans="1:12" ht="15.75" x14ac:dyDescent="0.25">
      <c r="A25" s="37">
        <v>3965</v>
      </c>
      <c r="B25" s="34"/>
      <c r="C25" s="35" t="s">
        <v>8</v>
      </c>
      <c r="D25" s="36">
        <v>162.30021890133332</v>
      </c>
      <c r="E25" s="38">
        <f>D25*(1-'[1]Discounts page'!D$9)</f>
        <v>64.920087560533332</v>
      </c>
      <c r="F25" s="36">
        <v>146.07019701120001</v>
      </c>
      <c r="G25" s="38">
        <f>F25*(1-'[1]Discounts page'!D$9)</f>
        <v>58.428078804480009</v>
      </c>
      <c r="H25" s="36">
        <v>137.95518606613331</v>
      </c>
      <c r="I25" s="38">
        <f>H25*(1-'[1]Discounts page'!D$9)</f>
        <v>55.182074426453326</v>
      </c>
      <c r="J25" s="47">
        <f t="shared" si="1"/>
        <v>104</v>
      </c>
      <c r="K25" s="48">
        <f t="shared" si="0"/>
        <v>91</v>
      </c>
      <c r="L25" s="49">
        <f t="shared" si="2"/>
        <v>83</v>
      </c>
    </row>
    <row r="26" spans="1:12" ht="15.75" x14ac:dyDescent="0.25">
      <c r="A26" s="37">
        <v>4115</v>
      </c>
      <c r="B26" s="34"/>
      <c r="C26" s="35" t="s">
        <v>8</v>
      </c>
      <c r="D26" s="36">
        <v>167.72026331733335</v>
      </c>
      <c r="E26" s="38">
        <f>D26*(1-'[1]Discounts page'!D$9)</f>
        <v>67.088105326933345</v>
      </c>
      <c r="F26" s="36">
        <v>150.9482369856</v>
      </c>
      <c r="G26" s="38">
        <f>F26*(1-'[1]Discounts page'!D$9)</f>
        <v>60.379294794240003</v>
      </c>
      <c r="H26" s="36">
        <v>142.56222381973333</v>
      </c>
      <c r="I26" s="38">
        <f>H26*(1-'[1]Discounts page'!D$9)</f>
        <v>57.024889527893336</v>
      </c>
      <c r="J26" s="47">
        <f t="shared" si="1"/>
        <v>108</v>
      </c>
      <c r="K26" s="48">
        <f t="shared" si="0"/>
        <v>94</v>
      </c>
      <c r="L26" s="49">
        <f t="shared" si="2"/>
        <v>86</v>
      </c>
    </row>
    <row r="27" spans="1:12" ht="15.75" x14ac:dyDescent="0.25">
      <c r="A27" s="37">
        <v>4270</v>
      </c>
      <c r="B27" s="34"/>
      <c r="C27" s="35" t="s">
        <v>8</v>
      </c>
      <c r="D27" s="36">
        <v>173.89309168000003</v>
      </c>
      <c r="E27" s="38">
        <f>D27*(1-'[1]Discounts page'!D$9)</f>
        <v>69.557236672000016</v>
      </c>
      <c r="F27" s="36">
        <v>156.50378251200002</v>
      </c>
      <c r="G27" s="38">
        <f>F27*(1-'[1]Discounts page'!D$9)</f>
        <v>62.601513004800012</v>
      </c>
      <c r="H27" s="36">
        <v>147.80912792800001</v>
      </c>
      <c r="I27" s="38">
        <f>H27*(1-'[1]Discounts page'!D$9)</f>
        <v>59.123651171200009</v>
      </c>
      <c r="J27" s="47">
        <f t="shared" si="1"/>
        <v>112</v>
      </c>
      <c r="K27" s="48">
        <f t="shared" si="0"/>
        <v>98</v>
      </c>
      <c r="L27" s="49">
        <f t="shared" si="2"/>
        <v>89</v>
      </c>
    </row>
    <row r="28" spans="1:12" ht="15.75" x14ac:dyDescent="0.25">
      <c r="A28" s="37">
        <v>4420</v>
      </c>
      <c r="B28" s="34"/>
      <c r="C28" s="35" t="s">
        <v>8</v>
      </c>
      <c r="D28" s="36">
        <v>180.56594154666666</v>
      </c>
      <c r="E28" s="38">
        <f>D28*(1-'[1]Discounts page'!D$9)</f>
        <v>72.226376618666663</v>
      </c>
      <c r="F28" s="36">
        <v>162.509347392</v>
      </c>
      <c r="G28" s="38">
        <f>F28*(1-'[1]Discounts page'!D$9)</f>
        <v>65.003738956800007</v>
      </c>
      <c r="H28" s="36">
        <v>153.48105031466667</v>
      </c>
      <c r="I28" s="38">
        <f>H28*(1-'[1]Discounts page'!D$9)</f>
        <v>61.392420125866671</v>
      </c>
      <c r="J28" s="47">
        <f t="shared" si="1"/>
        <v>116</v>
      </c>
      <c r="K28" s="48">
        <f t="shared" si="0"/>
        <v>101</v>
      </c>
      <c r="L28" s="49">
        <f t="shared" si="2"/>
        <v>93</v>
      </c>
    </row>
    <row r="29" spans="1:12" ht="15.75" x14ac:dyDescent="0.25">
      <c r="A29" s="37">
        <v>4575</v>
      </c>
      <c r="B29" s="34"/>
      <c r="C29" s="35" t="s">
        <v>8</v>
      </c>
      <c r="D29" s="36">
        <v>186.34095405866668</v>
      </c>
      <c r="E29" s="38">
        <f>D29*(1-'[1]Discounts page'!D$9)</f>
        <v>74.536381623466681</v>
      </c>
      <c r="F29" s="36">
        <v>167.70685865280001</v>
      </c>
      <c r="G29" s="38">
        <f>F29*(1-'[1]Discounts page'!D$9)</f>
        <v>67.082743461120003</v>
      </c>
      <c r="H29" s="36">
        <v>158.38981094986667</v>
      </c>
      <c r="I29" s="38">
        <f>H29*(1-'[1]Discounts page'!D$9)</f>
        <v>63.355924379946671</v>
      </c>
      <c r="J29" s="47">
        <f t="shared" si="1"/>
        <v>120</v>
      </c>
      <c r="K29" s="48">
        <f t="shared" si="0"/>
        <v>104</v>
      </c>
      <c r="L29" s="49">
        <f t="shared" si="2"/>
        <v>96</v>
      </c>
    </row>
    <row r="30" spans="1:12" ht="15.75" x14ac:dyDescent="0.25">
      <c r="A30" s="37">
        <v>4725</v>
      </c>
      <c r="B30" s="34"/>
      <c r="C30" s="35" t="s">
        <v>8</v>
      </c>
      <c r="D30" s="36">
        <v>192.26377166933335</v>
      </c>
      <c r="E30" s="38">
        <f>D30*(1-'[1]Discounts page'!D$9)</f>
        <v>76.905508667733343</v>
      </c>
      <c r="F30" s="36">
        <v>173.03739450240002</v>
      </c>
      <c r="G30" s="38">
        <f>F30*(1-'[1]Discounts page'!D$9)</f>
        <v>69.214957800960008</v>
      </c>
      <c r="H30" s="36">
        <v>163.42420591893335</v>
      </c>
      <c r="I30" s="38">
        <f>H30*(1-'[1]Discounts page'!D$9)</f>
        <v>65.369682367573347</v>
      </c>
      <c r="J30" s="47">
        <f t="shared" si="1"/>
        <v>124</v>
      </c>
      <c r="K30" s="48">
        <f t="shared" si="0"/>
        <v>108</v>
      </c>
      <c r="L30" s="49">
        <f t="shared" si="2"/>
        <v>99</v>
      </c>
    </row>
    <row r="31" spans="1:12" ht="15.75" x14ac:dyDescent="0.25">
      <c r="A31" s="37">
        <v>4880</v>
      </c>
      <c r="B31" s="34"/>
      <c r="C31" s="35" t="s">
        <v>8</v>
      </c>
      <c r="D31" s="36">
        <v>198.03472216177781</v>
      </c>
      <c r="E31" s="38">
        <f>D31*(1-'[1]Discounts page'!D$9)</f>
        <v>79.213888864711123</v>
      </c>
      <c r="F31" s="36">
        <v>178.23124994560004</v>
      </c>
      <c r="G31" s="38">
        <f>F31*(1-'[1]Discounts page'!D$9)</f>
        <v>71.292499978240016</v>
      </c>
      <c r="H31" s="36">
        <v>168.32951383751114</v>
      </c>
      <c r="I31" s="38">
        <f>H31*(1-'[1]Discounts page'!D$9)</f>
        <v>67.331805535004463</v>
      </c>
      <c r="J31" s="47">
        <f t="shared" si="1"/>
        <v>127</v>
      </c>
      <c r="K31" s="48">
        <f t="shared" si="0"/>
        <v>111</v>
      </c>
      <c r="L31" s="49">
        <f t="shared" si="2"/>
        <v>101</v>
      </c>
    </row>
    <row r="32" spans="1:12" ht="15.75" x14ac:dyDescent="0.25">
      <c r="A32" s="33" t="s">
        <v>11</v>
      </c>
      <c r="B32" s="34"/>
      <c r="C32" s="35"/>
      <c r="D32" s="36"/>
      <c r="E32" s="38"/>
      <c r="F32" s="36"/>
      <c r="G32" s="38"/>
      <c r="H32" s="36"/>
      <c r="I32" s="38"/>
      <c r="J32" s="47">
        <f t="shared" si="1"/>
        <v>0</v>
      </c>
      <c r="K32" s="48">
        <f t="shared" si="0"/>
        <v>0</v>
      </c>
      <c r="L32" s="49">
        <f t="shared" si="2"/>
        <v>0</v>
      </c>
    </row>
    <row r="33" spans="1:12" ht="15.75" x14ac:dyDescent="0.25">
      <c r="A33" s="37">
        <v>1985</v>
      </c>
      <c r="B33" s="34"/>
      <c r="C33" s="35" t="s">
        <v>8</v>
      </c>
      <c r="D33" s="36">
        <v>89.44973263288891</v>
      </c>
      <c r="E33" s="38">
        <f>D33*(1-'[1]Discounts page'!D$9)</f>
        <v>35.779893053155568</v>
      </c>
      <c r="F33" s="36">
        <v>80.504759369600023</v>
      </c>
      <c r="G33" s="38">
        <f>F33*(1-'[1]Discounts page'!D$9)</f>
        <v>32.201903747840014</v>
      </c>
      <c r="H33" s="36">
        <v>76.032272737955566</v>
      </c>
      <c r="I33" s="38">
        <f>H33*(1-'[1]Discounts page'!D$9)</f>
        <v>30.412909095182229</v>
      </c>
      <c r="J33" s="47">
        <f t="shared" si="1"/>
        <v>58</v>
      </c>
      <c r="K33" s="48">
        <f t="shared" si="0"/>
        <v>50</v>
      </c>
      <c r="L33" s="49">
        <f t="shared" si="2"/>
        <v>46</v>
      </c>
    </row>
    <row r="34" spans="1:12" ht="15.75" x14ac:dyDescent="0.25">
      <c r="A34" s="37">
        <v>2135</v>
      </c>
      <c r="B34" s="34"/>
      <c r="C34" s="35" t="s">
        <v>8</v>
      </c>
      <c r="D34" s="36">
        <v>95.220683125333338</v>
      </c>
      <c r="E34" s="38">
        <f>D34*(1-'[1]Discounts page'!D$9)</f>
        <v>38.088273250133334</v>
      </c>
      <c r="F34" s="36">
        <v>85.698614812800002</v>
      </c>
      <c r="G34" s="38">
        <f>F34*(1-'[1]Discounts page'!D$9)</f>
        <v>34.279445925120001</v>
      </c>
      <c r="H34" s="36">
        <v>80.937580656533342</v>
      </c>
      <c r="I34" s="38">
        <f>H34*(1-'[1]Discounts page'!D$9)</f>
        <v>32.375032262613338</v>
      </c>
      <c r="J34" s="47">
        <f t="shared" si="1"/>
        <v>61</v>
      </c>
      <c r="K34" s="48">
        <f t="shared" si="0"/>
        <v>54</v>
      </c>
      <c r="L34" s="49">
        <f t="shared" si="2"/>
        <v>49</v>
      </c>
    </row>
    <row r="35" spans="1:12" ht="15.75" x14ac:dyDescent="0.25">
      <c r="A35" s="37">
        <v>2290</v>
      </c>
      <c r="B35" s="34"/>
      <c r="C35" s="35" t="s">
        <v>8</v>
      </c>
      <c r="D35" s="36">
        <v>101.14350073600001</v>
      </c>
      <c r="E35" s="38">
        <f>D35*(1-'[1]Discounts page'!D$9)</f>
        <v>40.457400294400003</v>
      </c>
      <c r="F35" s="36">
        <v>91.029150662400014</v>
      </c>
      <c r="G35" s="38">
        <f>F35*(1-'[1]Discounts page'!D$9)</f>
        <v>36.411660264960005</v>
      </c>
      <c r="H35" s="36">
        <v>85.97197562560001</v>
      </c>
      <c r="I35" s="38">
        <f>H35*(1-'[1]Discounts page'!D$9)</f>
        <v>34.388790250240007</v>
      </c>
      <c r="J35" s="47">
        <f t="shared" si="1"/>
        <v>65</v>
      </c>
      <c r="K35" s="48">
        <f t="shared" si="0"/>
        <v>57</v>
      </c>
      <c r="L35" s="49">
        <f t="shared" si="2"/>
        <v>52</v>
      </c>
    </row>
    <row r="36" spans="1:12" ht="15.75" x14ac:dyDescent="0.25">
      <c r="A36" s="37">
        <v>2440</v>
      </c>
      <c r="B36" s="34"/>
      <c r="C36" s="35" t="s">
        <v>8</v>
      </c>
      <c r="D36" s="36">
        <v>106.91445122844443</v>
      </c>
      <c r="E36" s="38">
        <f>D36*(1-'[1]Discounts page'!D$9)</f>
        <v>42.765780491377775</v>
      </c>
      <c r="F36" s="36">
        <v>96.223006105599993</v>
      </c>
      <c r="G36" s="38">
        <f>F36*(1-'[1]Discounts page'!D$9)</f>
        <v>38.48920244224</v>
      </c>
      <c r="H36" s="36">
        <v>90.877283544177772</v>
      </c>
      <c r="I36" s="38">
        <f>H36*(1-'[1]Discounts page'!D$9)</f>
        <v>36.350913417671109</v>
      </c>
      <c r="J36" s="47">
        <f t="shared" si="1"/>
        <v>69</v>
      </c>
      <c r="K36" s="48">
        <f t="shared" si="0"/>
        <v>60</v>
      </c>
      <c r="L36" s="49">
        <f t="shared" si="2"/>
        <v>55</v>
      </c>
    </row>
    <row r="37" spans="1:12" ht="15.75" x14ac:dyDescent="0.25">
      <c r="A37" s="37">
        <v>2590</v>
      </c>
      <c r="B37" s="34"/>
      <c r="C37" s="35" t="s">
        <v>8</v>
      </c>
      <c r="D37" s="36">
        <v>112.83726883911112</v>
      </c>
      <c r="E37" s="38">
        <f>D37*(1-'[1]Discounts page'!D$9)</f>
        <v>45.134907535644452</v>
      </c>
      <c r="F37" s="36">
        <v>101.5535419552</v>
      </c>
      <c r="G37" s="38">
        <f>F37*(1-'[1]Discounts page'!D$9)</f>
        <v>40.621416782080004</v>
      </c>
      <c r="H37" s="36">
        <v>95.911678513244453</v>
      </c>
      <c r="I37" s="38">
        <f>H37*(1-'[1]Discounts page'!D$9)</f>
        <v>38.364671405297784</v>
      </c>
      <c r="J37" s="47">
        <f t="shared" si="1"/>
        <v>73</v>
      </c>
      <c r="K37" s="48">
        <f t="shared" si="0"/>
        <v>63</v>
      </c>
      <c r="L37" s="49">
        <f t="shared" si="2"/>
        <v>58</v>
      </c>
    </row>
    <row r="38" spans="1:12" ht="15.75" x14ac:dyDescent="0.25">
      <c r="A38" s="37">
        <v>2745</v>
      </c>
      <c r="B38" s="34"/>
      <c r="C38" s="35" t="s">
        <v>8</v>
      </c>
      <c r="D38" s="36">
        <v>118.45635221333335</v>
      </c>
      <c r="E38" s="38">
        <f>D38*(1-'[1]Discounts page'!D$9)</f>
        <v>47.382540885333341</v>
      </c>
      <c r="F38" s="36">
        <v>106.61071699200001</v>
      </c>
      <c r="G38" s="38">
        <f>F38*(1-'[1]Discounts page'!D$9)</f>
        <v>42.644286796800003</v>
      </c>
      <c r="H38" s="36">
        <v>100.68789938133334</v>
      </c>
      <c r="I38" s="38">
        <f>H38*(1-'[1]Discounts page'!D$9)</f>
        <v>40.275159752533341</v>
      </c>
      <c r="J38" s="47">
        <f t="shared" si="1"/>
        <v>76</v>
      </c>
      <c r="K38" s="48">
        <f t="shared" si="0"/>
        <v>67</v>
      </c>
      <c r="L38" s="49">
        <f t="shared" si="2"/>
        <v>61</v>
      </c>
    </row>
    <row r="39" spans="1:12" ht="15.75" x14ac:dyDescent="0.25">
      <c r="A39" s="37">
        <v>2895</v>
      </c>
      <c r="B39" s="34"/>
      <c r="C39" s="35" t="s">
        <v>8</v>
      </c>
      <c r="D39" s="36">
        <v>124.2273027057778</v>
      </c>
      <c r="E39" s="38">
        <f>D39*(1-'[1]Discounts page'!D$9)</f>
        <v>49.690921082311121</v>
      </c>
      <c r="F39" s="36">
        <v>111.80457243520003</v>
      </c>
      <c r="G39" s="38">
        <f>F39*(1-'[1]Discounts page'!D$9)</f>
        <v>44.721828974080012</v>
      </c>
      <c r="H39" s="36">
        <v>105.59320729991113</v>
      </c>
      <c r="I39" s="38">
        <f>H39*(1-'[1]Discounts page'!D$9)</f>
        <v>42.237282919964457</v>
      </c>
      <c r="J39" s="47">
        <f t="shared" si="1"/>
        <v>80</v>
      </c>
      <c r="K39" s="48">
        <f t="shared" si="0"/>
        <v>70</v>
      </c>
      <c r="L39" s="49">
        <f t="shared" si="2"/>
        <v>64</v>
      </c>
    </row>
    <row r="40" spans="1:12" ht="15.75" x14ac:dyDescent="0.25">
      <c r="A40" s="37">
        <v>3050</v>
      </c>
      <c r="B40" s="34"/>
      <c r="C40" s="35" t="s">
        <v>8</v>
      </c>
      <c r="D40" s="36">
        <v>130.15012031644446</v>
      </c>
      <c r="E40" s="38">
        <f>D40*(1-'[1]Discounts page'!D$9)</f>
        <v>52.060048126577783</v>
      </c>
      <c r="F40" s="36">
        <v>117.13510828480001</v>
      </c>
      <c r="G40" s="38">
        <f>F40*(1-'[1]Discounts page'!D$9)</f>
        <v>46.854043313920009</v>
      </c>
      <c r="H40" s="36">
        <v>110.62760226897778</v>
      </c>
      <c r="I40" s="38">
        <f>H40*(1-'[1]Discounts page'!D$9)</f>
        <v>44.251040907591118</v>
      </c>
      <c r="J40" s="47">
        <f t="shared" si="1"/>
        <v>84</v>
      </c>
      <c r="K40" s="48">
        <f t="shared" si="0"/>
        <v>73</v>
      </c>
      <c r="L40" s="49">
        <f t="shared" si="2"/>
        <v>67</v>
      </c>
    </row>
    <row r="41" spans="1:12" ht="15.75" x14ac:dyDescent="0.25">
      <c r="A41" s="37">
        <v>3200</v>
      </c>
      <c r="B41" s="34"/>
      <c r="C41" s="35" t="s">
        <v>8</v>
      </c>
      <c r="D41" s="36">
        <v>135.92107080888891</v>
      </c>
      <c r="E41" s="38">
        <f>D41*(1-'[1]Discounts page'!D$9)</f>
        <v>54.36842832355557</v>
      </c>
      <c r="F41" s="36">
        <v>122.32896372800002</v>
      </c>
      <c r="G41" s="38">
        <f>F41*(1-'[1]Discounts page'!D$9)</f>
        <v>48.931585491200011</v>
      </c>
      <c r="H41" s="36">
        <v>115.53291018755557</v>
      </c>
      <c r="I41" s="38">
        <f>H41*(1-'[1]Discounts page'!D$9)</f>
        <v>46.213164075022235</v>
      </c>
      <c r="J41" s="47">
        <f t="shared" si="1"/>
        <v>87</v>
      </c>
      <c r="K41" s="48">
        <f t="shared" si="0"/>
        <v>76</v>
      </c>
      <c r="L41" s="49">
        <f t="shared" si="2"/>
        <v>70</v>
      </c>
    </row>
    <row r="42" spans="1:12" ht="15.75" x14ac:dyDescent="0.25">
      <c r="A42" s="37">
        <v>3355</v>
      </c>
      <c r="B42" s="34"/>
      <c r="C42" s="35" t="s">
        <v>8</v>
      </c>
      <c r="D42" s="36">
        <v>142.14762265600001</v>
      </c>
      <c r="E42" s="38">
        <f>D42*(1-'[1]Discounts page'!D$9)</f>
        <v>56.859049062400004</v>
      </c>
      <c r="F42" s="36">
        <v>127.93286039040001</v>
      </c>
      <c r="G42" s="38">
        <f>F42*(1-'[1]Discounts page'!D$9)</f>
        <v>51.173144156160006</v>
      </c>
      <c r="H42" s="36">
        <v>120.82547925760001</v>
      </c>
      <c r="I42" s="38">
        <f>H42*(1-'[1]Discounts page'!D$9)</f>
        <v>48.330191703040008</v>
      </c>
      <c r="J42" s="47">
        <f t="shared" si="1"/>
        <v>91</v>
      </c>
      <c r="K42" s="48">
        <f t="shared" si="0"/>
        <v>80</v>
      </c>
      <c r="L42" s="49">
        <f t="shared" si="2"/>
        <v>73</v>
      </c>
    </row>
    <row r="43" spans="1:12" ht="15.75" x14ac:dyDescent="0.25">
      <c r="A43" s="37">
        <v>3510</v>
      </c>
      <c r="B43" s="34"/>
      <c r="C43" s="35" t="s">
        <v>8</v>
      </c>
      <c r="D43" s="36">
        <v>147.91857314844444</v>
      </c>
      <c r="E43" s="38">
        <f>D43*(1-'[1]Discounts page'!D$9)</f>
        <v>59.167429259377776</v>
      </c>
      <c r="F43" s="36">
        <v>133.1267158336</v>
      </c>
      <c r="G43" s="38">
        <f>F43*(1-'[1]Discounts page'!D$9)</f>
        <v>53.250686333440001</v>
      </c>
      <c r="H43" s="36">
        <v>125.73078717617777</v>
      </c>
      <c r="I43" s="38">
        <f>H43*(1-'[1]Discounts page'!D$9)</f>
        <v>50.29231487047111</v>
      </c>
      <c r="J43" s="47">
        <f t="shared" si="1"/>
        <v>95</v>
      </c>
      <c r="K43" s="48">
        <f t="shared" si="0"/>
        <v>83</v>
      </c>
      <c r="L43" s="49">
        <f t="shared" si="2"/>
        <v>76</v>
      </c>
    </row>
    <row r="44" spans="1:12" ht="15.75" x14ac:dyDescent="0.25">
      <c r="A44" s="37">
        <v>3660</v>
      </c>
      <c r="B44" s="34"/>
      <c r="C44" s="35" t="s">
        <v>8</v>
      </c>
      <c r="D44" s="36">
        <v>153.53765652266668</v>
      </c>
      <c r="E44" s="38">
        <f>D44*(1-'[1]Discounts page'!D$9)</f>
        <v>61.415062609066673</v>
      </c>
      <c r="F44" s="36">
        <v>138.18389087040001</v>
      </c>
      <c r="G44" s="38">
        <f>F44*(1-'[1]Discounts page'!D$9)</f>
        <v>55.273556348160007</v>
      </c>
      <c r="H44" s="36">
        <v>130.50700804426668</v>
      </c>
      <c r="I44" s="38">
        <f>H44*(1-'[1]Discounts page'!D$9)</f>
        <v>52.202803217706673</v>
      </c>
      <c r="J44" s="47">
        <f t="shared" si="1"/>
        <v>99</v>
      </c>
      <c r="K44" s="48">
        <f t="shared" si="0"/>
        <v>86</v>
      </c>
      <c r="L44" s="49">
        <f t="shared" si="2"/>
        <v>79</v>
      </c>
    </row>
    <row r="45" spans="1:12" ht="15.75" x14ac:dyDescent="0.25">
      <c r="A45" s="37">
        <v>3810</v>
      </c>
      <c r="B45" s="34"/>
      <c r="C45" s="35" t="s">
        <v>8</v>
      </c>
      <c r="D45" s="36">
        <v>159.30860701511111</v>
      </c>
      <c r="E45" s="38">
        <f>D45*(1-'[1]Discounts page'!D$9)</f>
        <v>63.723442806044446</v>
      </c>
      <c r="F45" s="36">
        <v>143.3777463136</v>
      </c>
      <c r="G45" s="38">
        <f>F45*(1-'[1]Discounts page'!D$9)</f>
        <v>57.351098525440001</v>
      </c>
      <c r="H45" s="36">
        <v>135.41231596284445</v>
      </c>
      <c r="I45" s="38">
        <f>H45*(1-'[1]Discounts page'!D$9)</f>
        <v>54.164926385137782</v>
      </c>
      <c r="J45" s="47">
        <f t="shared" si="1"/>
        <v>102</v>
      </c>
      <c r="K45" s="48">
        <f t="shared" si="0"/>
        <v>89</v>
      </c>
      <c r="L45" s="49">
        <f t="shared" si="2"/>
        <v>82</v>
      </c>
    </row>
    <row r="46" spans="1:12" ht="15.75" x14ac:dyDescent="0.25">
      <c r="A46" s="37">
        <v>3965</v>
      </c>
      <c r="B46" s="34"/>
      <c r="C46" s="35" t="s">
        <v>8</v>
      </c>
      <c r="D46" s="36">
        <v>165.23142462577783</v>
      </c>
      <c r="E46" s="38">
        <f>D46*(1-'[1]Discounts page'!D$9)</f>
        <v>66.092569850311136</v>
      </c>
      <c r="F46" s="36">
        <v>148.70828216320007</v>
      </c>
      <c r="G46" s="38">
        <f>F46*(1-'[1]Discounts page'!D$9)</f>
        <v>59.483312865280027</v>
      </c>
      <c r="H46" s="36">
        <v>140.44671093191116</v>
      </c>
      <c r="I46" s="38">
        <f>H46*(1-'[1]Discounts page'!D$9)</f>
        <v>56.178684372764465</v>
      </c>
      <c r="J46" s="47">
        <f t="shared" si="1"/>
        <v>106</v>
      </c>
      <c r="K46" s="48">
        <f t="shared" si="0"/>
        <v>93</v>
      </c>
      <c r="L46" s="49">
        <f t="shared" si="2"/>
        <v>85</v>
      </c>
    </row>
    <row r="47" spans="1:12" ht="15.75" x14ac:dyDescent="0.25">
      <c r="A47" s="37" t="s">
        <v>12</v>
      </c>
      <c r="B47" s="34"/>
      <c r="C47" s="35" t="s">
        <v>8</v>
      </c>
      <c r="D47" s="36">
        <v>171.15424223644445</v>
      </c>
      <c r="E47" s="38">
        <f>D47*(1-'[1]Discounts page'!D$9)</f>
        <v>68.461696894577784</v>
      </c>
      <c r="F47" s="36">
        <v>154.03881801279999</v>
      </c>
      <c r="G47" s="38">
        <f>F47*(1-'[1]Discounts page'!D$9)</f>
        <v>61.615527205120003</v>
      </c>
      <c r="H47" s="36">
        <v>145.48110590097778</v>
      </c>
      <c r="I47" s="38">
        <f>H47*(1-'[1]Discounts page'!D$9)</f>
        <v>58.192442360391112</v>
      </c>
      <c r="J47" s="47">
        <f t="shared" si="1"/>
        <v>110</v>
      </c>
      <c r="K47" s="48">
        <f t="shared" si="0"/>
        <v>96</v>
      </c>
      <c r="L47" s="49">
        <f t="shared" si="2"/>
        <v>88</v>
      </c>
    </row>
    <row r="48" spans="1:12" ht="15.75" x14ac:dyDescent="0.25">
      <c r="A48" s="37">
        <v>4270</v>
      </c>
      <c r="B48" s="34"/>
      <c r="C48" s="35" t="s">
        <v>8</v>
      </c>
      <c r="D48" s="36">
        <v>178.75703251555558</v>
      </c>
      <c r="E48" s="38">
        <f>D48*(1-'[1]Discounts page'!D$9)</f>
        <v>71.50281300622224</v>
      </c>
      <c r="F48" s="36">
        <v>160.88132926400002</v>
      </c>
      <c r="G48" s="38">
        <f>F48*(1-'[1]Discounts page'!D$9)</f>
        <v>64.352531705600015</v>
      </c>
      <c r="H48" s="36">
        <v>151.94347763822225</v>
      </c>
      <c r="I48" s="38">
        <f>H48*(1-'[1]Discounts page'!D$9)</f>
        <v>60.777391055288902</v>
      </c>
      <c r="J48" s="47">
        <f t="shared" si="1"/>
        <v>115</v>
      </c>
      <c r="K48" s="48">
        <f t="shared" si="0"/>
        <v>100</v>
      </c>
      <c r="L48" s="49">
        <f t="shared" si="2"/>
        <v>92</v>
      </c>
    </row>
    <row r="49" spans="1:12" ht="15.75" x14ac:dyDescent="0.25">
      <c r="A49" s="37">
        <v>4420</v>
      </c>
      <c r="B49" s="34"/>
      <c r="C49" s="35" t="s">
        <v>8</v>
      </c>
      <c r="D49" s="36">
        <v>184.74117351822221</v>
      </c>
      <c r="E49" s="38">
        <f>D49*(1-'[1]Discounts page'!D$9)</f>
        <v>73.89646940728889</v>
      </c>
      <c r="F49" s="36">
        <v>166.26705616639998</v>
      </c>
      <c r="G49" s="38">
        <f>F49*(1-'[1]Discounts page'!D$9)</f>
        <v>66.506822466559996</v>
      </c>
      <c r="H49" s="36">
        <v>157.02999749048888</v>
      </c>
      <c r="I49" s="38">
        <f>H49*(1-'[1]Discounts page'!D$9)</f>
        <v>62.811998996195555</v>
      </c>
      <c r="J49" s="47">
        <f t="shared" si="1"/>
        <v>119</v>
      </c>
      <c r="K49" s="48">
        <f t="shared" si="0"/>
        <v>104</v>
      </c>
      <c r="L49" s="49">
        <f t="shared" si="2"/>
        <v>95</v>
      </c>
    </row>
    <row r="50" spans="1:12" ht="15.75" x14ac:dyDescent="0.25">
      <c r="A50" s="37">
        <v>4575</v>
      </c>
      <c r="B50" s="34"/>
      <c r="C50" s="35" t="s">
        <v>8</v>
      </c>
      <c r="D50" s="36">
        <v>190.87875403377777</v>
      </c>
      <c r="E50" s="38">
        <f>D50*(1-'[1]Discounts page'!D$9)</f>
        <v>76.351501613511104</v>
      </c>
      <c r="F50" s="36">
        <v>171.79087863039999</v>
      </c>
      <c r="G50" s="38">
        <f>F50*(1-'[1]Discounts page'!D$9)</f>
        <v>68.716351452159998</v>
      </c>
      <c r="H50" s="36">
        <v>162.2469409287111</v>
      </c>
      <c r="I50" s="38">
        <f>H50*(1-'[1]Discounts page'!D$9)</f>
        <v>64.898776371484445</v>
      </c>
      <c r="J50" s="47">
        <f t="shared" si="1"/>
        <v>123</v>
      </c>
      <c r="K50" s="48">
        <f t="shared" si="0"/>
        <v>107</v>
      </c>
      <c r="L50" s="49">
        <f t="shared" si="2"/>
        <v>98</v>
      </c>
    </row>
    <row r="51" spans="1:12" ht="15.75" x14ac:dyDescent="0.25">
      <c r="A51" s="37">
        <v>4725</v>
      </c>
      <c r="B51" s="34"/>
      <c r="C51" s="35" t="s">
        <v>8</v>
      </c>
      <c r="D51" s="36">
        <v>196.40257649777783</v>
      </c>
      <c r="E51" s="38">
        <f>D51*(1-'[1]Discounts page'!D$9)</f>
        <v>78.561030599111135</v>
      </c>
      <c r="F51" s="36">
        <v>176.76231884800006</v>
      </c>
      <c r="G51" s="38">
        <f>F51*(1-'[1]Discounts page'!D$9)</f>
        <v>70.704927539200028</v>
      </c>
      <c r="H51" s="36">
        <v>166.94219002311115</v>
      </c>
      <c r="I51" s="38">
        <f>H51*(1-'[1]Discounts page'!D$9)</f>
        <v>66.776876009244461</v>
      </c>
      <c r="J51" s="47">
        <f t="shared" si="1"/>
        <v>126</v>
      </c>
      <c r="K51" s="48">
        <f t="shared" si="0"/>
        <v>110</v>
      </c>
      <c r="L51" s="49">
        <f t="shared" si="2"/>
        <v>101</v>
      </c>
    </row>
    <row r="52" spans="1:12" ht="15.75" x14ac:dyDescent="0.25">
      <c r="A52" s="37">
        <v>4880</v>
      </c>
      <c r="B52" s="34"/>
      <c r="C52" s="35" t="s">
        <v>8</v>
      </c>
      <c r="D52" s="36">
        <v>202.38671750044446</v>
      </c>
      <c r="E52" s="38">
        <f>D52*(1-'[1]Discounts page'!D$9)</f>
        <v>80.954687000177785</v>
      </c>
      <c r="F52" s="36">
        <v>182.14804575040003</v>
      </c>
      <c r="G52" s="38">
        <f>F52*(1-'[1]Discounts page'!D$9)</f>
        <v>72.859218300160009</v>
      </c>
      <c r="H52" s="36">
        <v>172.02870987537779</v>
      </c>
      <c r="I52" s="38">
        <f>H52*(1-'[1]Discounts page'!D$9)</f>
        <v>68.811483950151114</v>
      </c>
      <c r="J52" s="47">
        <f t="shared" si="1"/>
        <v>130</v>
      </c>
      <c r="K52" s="48">
        <f t="shared" si="0"/>
        <v>113</v>
      </c>
      <c r="L52" s="49">
        <f t="shared" si="2"/>
        <v>104</v>
      </c>
    </row>
    <row r="53" spans="1:12" ht="15.75" x14ac:dyDescent="0.25">
      <c r="A53" s="37">
        <v>5030</v>
      </c>
      <c r="B53" s="34"/>
      <c r="C53" s="35" t="s">
        <v>8</v>
      </c>
      <c r="D53" s="36">
        <v>208.21741899022223</v>
      </c>
      <c r="E53" s="38">
        <f>D53*(1-'[1]Discounts page'!D$9)</f>
        <v>83.2869675960889</v>
      </c>
      <c r="F53" s="36">
        <v>187.39567709120001</v>
      </c>
      <c r="G53" s="38">
        <f>F53*(1-'[1]Discounts page'!D$9)</f>
        <v>74.958270836480011</v>
      </c>
      <c r="H53" s="36">
        <v>176.98480614168889</v>
      </c>
      <c r="I53" s="38">
        <f>H53*(1-'[1]Discounts page'!D$9)</f>
        <v>70.79392245667556</v>
      </c>
      <c r="J53" s="47">
        <f t="shared" si="1"/>
        <v>134</v>
      </c>
      <c r="K53" s="48">
        <f t="shared" si="0"/>
        <v>117</v>
      </c>
      <c r="L53" s="49">
        <f t="shared" si="2"/>
        <v>107</v>
      </c>
    </row>
    <row r="54" spans="1:12" ht="15.75" x14ac:dyDescent="0.25">
      <c r="A54" s="37">
        <v>5185</v>
      </c>
      <c r="B54" s="34"/>
      <c r="C54" s="35" t="s">
        <v>8</v>
      </c>
      <c r="D54" s="36">
        <v>214.20155999288892</v>
      </c>
      <c r="E54" s="38">
        <f>D54*(1-'[1]Discounts page'!D$9)</f>
        <v>85.680623997155578</v>
      </c>
      <c r="F54" s="36">
        <v>192.78140399360004</v>
      </c>
      <c r="G54" s="38">
        <f>F54*(1-'[1]Discounts page'!D$9)</f>
        <v>77.11256159744002</v>
      </c>
      <c r="H54" s="36">
        <v>182.07132599395558</v>
      </c>
      <c r="I54" s="38">
        <f>H54*(1-'[1]Discounts page'!D$9)</f>
        <v>72.828530397582242</v>
      </c>
      <c r="J54" s="47">
        <f t="shared" si="1"/>
        <v>138</v>
      </c>
      <c r="K54" s="48">
        <f t="shared" si="0"/>
        <v>120</v>
      </c>
      <c r="L54" s="49">
        <f t="shared" si="2"/>
        <v>110</v>
      </c>
    </row>
    <row r="55" spans="1:12" ht="15.75" x14ac:dyDescent="0.25">
      <c r="A55" s="37">
        <v>5335</v>
      </c>
      <c r="B55" s="34"/>
      <c r="C55" s="35" t="s">
        <v>8</v>
      </c>
      <c r="D55" s="36">
        <v>220.33914050844447</v>
      </c>
      <c r="E55" s="38">
        <f>D55*(1-'[1]Discounts page'!D$9)</f>
        <v>88.135656203377792</v>
      </c>
      <c r="F55" s="36">
        <v>198.30522645760004</v>
      </c>
      <c r="G55" s="38">
        <f>F55*(1-'[1]Discounts page'!D$9)</f>
        <v>79.322090583040023</v>
      </c>
      <c r="H55" s="36">
        <v>187.2882694321778</v>
      </c>
      <c r="I55" s="38">
        <f>H55*(1-'[1]Discounts page'!D$9)</f>
        <v>74.915307772871117</v>
      </c>
      <c r="J55" s="47">
        <f t="shared" si="1"/>
        <v>142</v>
      </c>
      <c r="K55" s="48">
        <f t="shared" si="0"/>
        <v>123</v>
      </c>
      <c r="L55" s="49">
        <f t="shared" si="2"/>
        <v>113</v>
      </c>
    </row>
    <row r="56" spans="1:12" ht="15.75" x14ac:dyDescent="0.25">
      <c r="A56" s="37">
        <v>5490</v>
      </c>
      <c r="B56" s="34"/>
      <c r="C56" s="35" t="s">
        <v>8</v>
      </c>
      <c r="D56" s="36">
        <v>226.47672102400003</v>
      </c>
      <c r="E56" s="38">
        <f>D56*(1-'[1]Discounts page'!D$9)</f>
        <v>90.59068840960002</v>
      </c>
      <c r="F56" s="36">
        <v>203.82904892160002</v>
      </c>
      <c r="G56" s="38">
        <f>F56*(1-'[1]Discounts page'!D$9)</f>
        <v>81.531619568640011</v>
      </c>
      <c r="H56" s="36">
        <v>192.50521287040002</v>
      </c>
      <c r="I56" s="38">
        <f>H56*(1-'[1]Discounts page'!D$9)</f>
        <v>77.002085148160006</v>
      </c>
      <c r="J56" s="47">
        <f t="shared" si="1"/>
        <v>145</v>
      </c>
      <c r="K56" s="48">
        <f t="shared" si="0"/>
        <v>127</v>
      </c>
      <c r="L56" s="49">
        <f t="shared" si="2"/>
        <v>116</v>
      </c>
    </row>
    <row r="57" spans="1:12" ht="15.75" x14ac:dyDescent="0.25">
      <c r="A57" s="37">
        <v>5640</v>
      </c>
      <c r="B57" s="34"/>
      <c r="C57" s="35" t="s">
        <v>8</v>
      </c>
      <c r="D57" s="36">
        <v>232.00054348800003</v>
      </c>
      <c r="E57" s="38">
        <f>D57*(1-'[1]Discounts page'!D$9)</f>
        <v>92.800217395200022</v>
      </c>
      <c r="F57" s="36">
        <v>208.80048913920004</v>
      </c>
      <c r="G57" s="38">
        <f>F57*(1-'[1]Discounts page'!D$9)</f>
        <v>83.520195655680027</v>
      </c>
      <c r="H57" s="36">
        <v>197.20046196480001</v>
      </c>
      <c r="I57" s="38">
        <f>H57*(1-'[1]Discounts page'!D$9)</f>
        <v>78.880184785920008</v>
      </c>
      <c r="J57" s="47">
        <f t="shared" si="1"/>
        <v>149</v>
      </c>
      <c r="K57" s="48">
        <f t="shared" si="0"/>
        <v>130</v>
      </c>
      <c r="L57" s="49">
        <f t="shared" si="2"/>
        <v>119</v>
      </c>
    </row>
    <row r="58" spans="1:12" ht="15.75" x14ac:dyDescent="0.25">
      <c r="A58" s="37">
        <v>5795</v>
      </c>
      <c r="B58" s="34"/>
      <c r="C58" s="35" t="s">
        <v>8</v>
      </c>
      <c r="D58" s="36">
        <v>237.98468449066667</v>
      </c>
      <c r="E58" s="38">
        <f>D58*(1-'[1]Discounts page'!D$9)</f>
        <v>95.193873796266672</v>
      </c>
      <c r="F58" s="36">
        <v>214.18621604160001</v>
      </c>
      <c r="G58" s="38">
        <f>F58*(1-'[1]Discounts page'!D$9)</f>
        <v>85.674486416640008</v>
      </c>
      <c r="H58" s="36">
        <v>202.28698181706667</v>
      </c>
      <c r="I58" s="38">
        <f>H58*(1-'[1]Discounts page'!D$9)</f>
        <v>80.914792726826676</v>
      </c>
      <c r="J58" s="47">
        <f t="shared" si="1"/>
        <v>153</v>
      </c>
      <c r="K58" s="48">
        <f t="shared" si="0"/>
        <v>133</v>
      </c>
      <c r="L58" s="49">
        <f t="shared" si="2"/>
        <v>122</v>
      </c>
    </row>
    <row r="59" spans="1:12" ht="15.75" x14ac:dyDescent="0.25">
      <c r="A59" s="33" t="s">
        <v>13</v>
      </c>
      <c r="B59" s="34"/>
      <c r="C59" s="35"/>
      <c r="D59" s="36"/>
      <c r="E59" s="38"/>
      <c r="F59" s="36"/>
      <c r="G59" s="38"/>
      <c r="H59" s="36"/>
      <c r="I59" s="38"/>
      <c r="J59" s="47">
        <f t="shared" si="1"/>
        <v>0</v>
      </c>
      <c r="K59" s="48">
        <f t="shared" si="0"/>
        <v>0</v>
      </c>
      <c r="L59" s="49">
        <f t="shared" si="2"/>
        <v>0</v>
      </c>
    </row>
    <row r="60" spans="1:12" ht="15.75" x14ac:dyDescent="0.25">
      <c r="A60" s="37">
        <v>2590</v>
      </c>
      <c r="B60" s="34"/>
      <c r="C60" s="35" t="s">
        <v>8</v>
      </c>
      <c r="D60" s="36">
        <v>121.51465984000002</v>
      </c>
      <c r="E60" s="38">
        <f>D60*(1-'[1]Discounts page'!D$9)</f>
        <v>48.605863936000013</v>
      </c>
      <c r="F60" s="36">
        <v>109.36319385600002</v>
      </c>
      <c r="G60" s="38">
        <f>F60*(1-'[1]Discounts page'!D$9)</f>
        <v>43.745277542400011</v>
      </c>
      <c r="H60" s="36">
        <v>103.28746086400001</v>
      </c>
      <c r="I60" s="38">
        <f>H60*(1-'[1]Discounts page'!D$9)</f>
        <v>41.31498434560001</v>
      </c>
      <c r="J60" s="47">
        <f t="shared" si="1"/>
        <v>78</v>
      </c>
      <c r="K60" s="48">
        <f t="shared" si="0"/>
        <v>68</v>
      </c>
      <c r="L60" s="49">
        <f t="shared" si="2"/>
        <v>62</v>
      </c>
    </row>
    <row r="61" spans="1:12" ht="15.75" x14ac:dyDescent="0.25">
      <c r="A61" s="37">
        <v>2745</v>
      </c>
      <c r="B61" s="34"/>
      <c r="C61" s="35" t="s">
        <v>8</v>
      </c>
      <c r="D61" s="36">
        <v>127.55265536000002</v>
      </c>
      <c r="E61" s="38">
        <f>D61*(1-'[1]Discounts page'!D$9)</f>
        <v>51.021062144000012</v>
      </c>
      <c r="F61" s="36">
        <v>114.79738982400002</v>
      </c>
      <c r="G61" s="38">
        <f>F61*(1-'[1]Discounts page'!D$9)</f>
        <v>45.91895592960001</v>
      </c>
      <c r="H61" s="36">
        <v>108.41975705600001</v>
      </c>
      <c r="I61" s="38">
        <f>H61*(1-'[1]Discounts page'!D$9)</f>
        <v>43.367902822400005</v>
      </c>
      <c r="J61" s="47">
        <f t="shared" si="1"/>
        <v>82</v>
      </c>
      <c r="K61" s="48">
        <f t="shared" si="0"/>
        <v>72</v>
      </c>
      <c r="L61" s="49">
        <f t="shared" si="2"/>
        <v>66</v>
      </c>
    </row>
    <row r="62" spans="1:12" ht="15.75" x14ac:dyDescent="0.25">
      <c r="A62" s="37">
        <v>2895</v>
      </c>
      <c r="B62" s="34"/>
      <c r="C62" s="35" t="s">
        <v>8</v>
      </c>
      <c r="D62" s="36">
        <v>133.892550656</v>
      </c>
      <c r="E62" s="38">
        <f>D62*(1-'[1]Discounts page'!D$9)</f>
        <v>53.557020262400002</v>
      </c>
      <c r="F62" s="36">
        <v>120.5032955904</v>
      </c>
      <c r="G62" s="38">
        <f>F62*(1-'[1]Discounts page'!D$9)</f>
        <v>48.201318236160006</v>
      </c>
      <c r="H62" s="36">
        <v>113.80866805759999</v>
      </c>
      <c r="I62" s="38">
        <f>H62*(1-'[1]Discounts page'!D$9)</f>
        <v>45.523467223040001</v>
      </c>
      <c r="J62" s="47">
        <f t="shared" si="1"/>
        <v>86</v>
      </c>
      <c r="K62" s="48">
        <f t="shared" si="0"/>
        <v>75</v>
      </c>
      <c r="L62" s="49">
        <f t="shared" si="2"/>
        <v>69</v>
      </c>
    </row>
    <row r="63" spans="1:12" ht="15.75" x14ac:dyDescent="0.25">
      <c r="A63" s="37">
        <v>3050</v>
      </c>
      <c r="B63" s="34"/>
      <c r="C63" s="35" t="s">
        <v>8</v>
      </c>
      <c r="D63" s="36">
        <v>139.47769651199999</v>
      </c>
      <c r="E63" s="38">
        <f>D63*(1-'[1]Discounts page'!D$9)</f>
        <v>55.791078604799999</v>
      </c>
      <c r="F63" s="36">
        <v>125.5299268608</v>
      </c>
      <c r="G63" s="38">
        <f>F63*(1-'[1]Discounts page'!D$9)</f>
        <v>50.211970744320006</v>
      </c>
      <c r="H63" s="36">
        <v>118.55604203519999</v>
      </c>
      <c r="I63" s="38">
        <f>H63*(1-'[1]Discounts page'!D$9)</f>
        <v>47.422416814080002</v>
      </c>
      <c r="J63" s="47">
        <f t="shared" si="1"/>
        <v>90</v>
      </c>
      <c r="K63" s="48">
        <f t="shared" si="0"/>
        <v>78</v>
      </c>
      <c r="L63" s="49">
        <f t="shared" si="2"/>
        <v>72</v>
      </c>
    </row>
    <row r="64" spans="1:12" ht="15.75" x14ac:dyDescent="0.25">
      <c r="A64" s="37">
        <v>3200</v>
      </c>
      <c r="B64" s="34"/>
      <c r="C64" s="35" t="s">
        <v>8</v>
      </c>
      <c r="D64" s="36">
        <v>145.51569203199998</v>
      </c>
      <c r="E64" s="38">
        <f>D64*(1-'[1]Discounts page'!D$9)</f>
        <v>58.206276812799992</v>
      </c>
      <c r="F64" s="36">
        <v>130.96412282879999</v>
      </c>
      <c r="G64" s="38">
        <f>F64*(1-'[1]Discounts page'!D$9)</f>
        <v>52.385649131519997</v>
      </c>
      <c r="H64" s="36">
        <v>123.68833822719998</v>
      </c>
      <c r="I64" s="38">
        <f>H64*(1-'[1]Discounts page'!D$9)</f>
        <v>49.475335290879997</v>
      </c>
      <c r="J64" s="47">
        <f t="shared" si="1"/>
        <v>94</v>
      </c>
      <c r="K64" s="48">
        <f t="shared" si="0"/>
        <v>82</v>
      </c>
      <c r="L64" s="49">
        <f t="shared" si="2"/>
        <v>75</v>
      </c>
    </row>
    <row r="65" spans="1:12" ht="15.75" x14ac:dyDescent="0.25">
      <c r="A65" s="37">
        <v>3355</v>
      </c>
      <c r="B65" s="34"/>
      <c r="C65" s="35" t="s">
        <v>8</v>
      </c>
      <c r="D65" s="36">
        <v>151.70463744000003</v>
      </c>
      <c r="E65" s="38">
        <f>D65*(1-'[1]Discounts page'!D$9)</f>
        <v>60.681854976000011</v>
      </c>
      <c r="F65" s="36">
        <v>136.53417369600004</v>
      </c>
      <c r="G65" s="38">
        <f>F65*(1-'[1]Discounts page'!D$9)</f>
        <v>54.61366947840002</v>
      </c>
      <c r="H65" s="36">
        <v>128.94894182400003</v>
      </c>
      <c r="I65" s="38">
        <f>H65*(1-'[1]Discounts page'!D$9)</f>
        <v>51.579576729600014</v>
      </c>
      <c r="J65" s="47">
        <f t="shared" si="1"/>
        <v>98</v>
      </c>
      <c r="K65" s="48">
        <f t="shared" si="0"/>
        <v>85</v>
      </c>
      <c r="L65" s="49">
        <f t="shared" si="2"/>
        <v>78</v>
      </c>
    </row>
    <row r="66" spans="1:12" ht="15.75" x14ac:dyDescent="0.25">
      <c r="A66" s="37">
        <v>3510</v>
      </c>
      <c r="B66" s="34"/>
      <c r="C66" s="35" t="s">
        <v>8</v>
      </c>
      <c r="D66" s="36">
        <v>157.74263296000001</v>
      </c>
      <c r="E66" s="38">
        <f>D66*(1-'[1]Discounts page'!D$9)</f>
        <v>63.097053184000004</v>
      </c>
      <c r="F66" s="36">
        <v>141.96836966400002</v>
      </c>
      <c r="G66" s="38">
        <f>F66*(1-'[1]Discounts page'!D$9)</f>
        <v>56.787347865600012</v>
      </c>
      <c r="H66" s="36">
        <v>134.08123801600001</v>
      </c>
      <c r="I66" s="38">
        <f>H66*(1-'[1]Discounts page'!D$9)</f>
        <v>53.632495206400009</v>
      </c>
      <c r="J66" s="47">
        <f t="shared" si="1"/>
        <v>101</v>
      </c>
      <c r="K66" s="48">
        <f t="shared" si="0"/>
        <v>89</v>
      </c>
      <c r="L66" s="49">
        <f t="shared" si="2"/>
        <v>81</v>
      </c>
    </row>
    <row r="67" spans="1:12" ht="15.75" x14ac:dyDescent="0.25">
      <c r="A67" s="37">
        <v>3660</v>
      </c>
      <c r="B67" s="34"/>
      <c r="C67" s="35" t="s">
        <v>8</v>
      </c>
      <c r="D67" s="36">
        <v>163.78062848000002</v>
      </c>
      <c r="E67" s="38">
        <f>D67*(1-'[1]Discounts page'!D$9)</f>
        <v>65.51225139200001</v>
      </c>
      <c r="F67" s="36">
        <v>147.40256563200003</v>
      </c>
      <c r="G67" s="38">
        <f>F67*(1-'[1]Discounts page'!D$9)</f>
        <v>58.961026252800018</v>
      </c>
      <c r="H67" s="36">
        <v>139.213534208</v>
      </c>
      <c r="I67" s="38">
        <f>H67*(1-'[1]Discounts page'!D$9)</f>
        <v>55.685413683200004</v>
      </c>
      <c r="J67" s="47">
        <f t="shared" si="1"/>
        <v>105</v>
      </c>
      <c r="K67" s="48">
        <f t="shared" si="0"/>
        <v>92</v>
      </c>
      <c r="L67" s="49">
        <f t="shared" si="2"/>
        <v>84</v>
      </c>
    </row>
    <row r="68" spans="1:12" ht="15.75" x14ac:dyDescent="0.25">
      <c r="A68" s="37">
        <v>3810</v>
      </c>
      <c r="B68" s="34"/>
      <c r="C68" s="35" t="s">
        <v>8</v>
      </c>
      <c r="D68" s="36">
        <v>169.96957388799999</v>
      </c>
      <c r="E68" s="38">
        <f>D68*(1-'[1]Discounts page'!D$9)</f>
        <v>67.987829555199994</v>
      </c>
      <c r="F68" s="36">
        <v>152.9726164992</v>
      </c>
      <c r="G68" s="38">
        <f>F68*(1-'[1]Discounts page'!D$9)</f>
        <v>61.189046599680005</v>
      </c>
      <c r="H68" s="36">
        <v>144.47413780479999</v>
      </c>
      <c r="I68" s="38">
        <f>H68*(1-'[1]Discounts page'!D$9)</f>
        <v>57.789655121919999</v>
      </c>
      <c r="J68" s="47">
        <f t="shared" si="1"/>
        <v>109</v>
      </c>
      <c r="K68" s="48">
        <f t="shared" si="0"/>
        <v>95</v>
      </c>
      <c r="L68" s="49">
        <f t="shared" si="2"/>
        <v>87</v>
      </c>
    </row>
    <row r="69" spans="1:12" ht="15.75" x14ac:dyDescent="0.25">
      <c r="A69" s="37">
        <v>3965</v>
      </c>
      <c r="B69" s="34"/>
      <c r="C69" s="35" t="s">
        <v>8</v>
      </c>
      <c r="D69" s="36">
        <v>175.70566963199997</v>
      </c>
      <c r="E69" s="38">
        <f>D69*(1-'[1]Discounts page'!D$9)</f>
        <v>70.28226785279999</v>
      </c>
      <c r="F69" s="36">
        <v>158.13510266879999</v>
      </c>
      <c r="G69" s="38">
        <f>F69*(1-'[1]Discounts page'!D$9)</f>
        <v>63.254041067519999</v>
      </c>
      <c r="H69" s="36">
        <v>149.34981918719996</v>
      </c>
      <c r="I69" s="38">
        <f>H69*(1-'[1]Discounts page'!D$9)</f>
        <v>59.739927674879986</v>
      </c>
      <c r="J69" s="47">
        <f t="shared" si="1"/>
        <v>113</v>
      </c>
      <c r="K69" s="48">
        <f t="shared" si="0"/>
        <v>99</v>
      </c>
      <c r="L69" s="49">
        <f t="shared" si="2"/>
        <v>90</v>
      </c>
    </row>
    <row r="70" spans="1:12" ht="15.75" x14ac:dyDescent="0.25">
      <c r="A70" s="37">
        <v>4115</v>
      </c>
      <c r="B70" s="34"/>
      <c r="C70" s="35" t="s">
        <v>8</v>
      </c>
      <c r="D70" s="36">
        <v>181.89461503999999</v>
      </c>
      <c r="E70" s="38">
        <f>D70*(1-'[1]Discounts page'!D$9)</f>
        <v>72.757846016000002</v>
      </c>
      <c r="F70" s="36">
        <v>163.70515353599998</v>
      </c>
      <c r="G70" s="38">
        <f>F70*(1-'[1]Discounts page'!D$9)</f>
        <v>65.482061414399993</v>
      </c>
      <c r="H70" s="36">
        <v>154.61042278399998</v>
      </c>
      <c r="I70" s="38">
        <f>H70*(1-'[1]Discounts page'!D$9)</f>
        <v>61.844169113599996</v>
      </c>
      <c r="J70" s="47">
        <f t="shared" si="1"/>
        <v>117</v>
      </c>
      <c r="K70" s="48">
        <f t="shared" si="0"/>
        <v>102</v>
      </c>
      <c r="L70" s="49">
        <f t="shared" si="2"/>
        <v>93</v>
      </c>
    </row>
    <row r="71" spans="1:12" ht="15.75" x14ac:dyDescent="0.25">
      <c r="A71" s="37">
        <v>4270</v>
      </c>
      <c r="B71" s="34"/>
      <c r="C71" s="35" t="s">
        <v>8</v>
      </c>
      <c r="D71" s="36">
        <v>188.08356044799999</v>
      </c>
      <c r="E71" s="38">
        <f>D71*(1-'[1]Discounts page'!D$9)</f>
        <v>75.2334241792</v>
      </c>
      <c r="F71" s="36">
        <v>169.27520440319998</v>
      </c>
      <c r="G71" s="38">
        <f>F71*(1-'[1]Discounts page'!D$9)</f>
        <v>67.710081761279994</v>
      </c>
      <c r="H71" s="36">
        <v>159.87102638079998</v>
      </c>
      <c r="I71" s="38">
        <f>H71*(1-'[1]Discounts page'!D$9)</f>
        <v>63.948410552319991</v>
      </c>
      <c r="J71" s="47">
        <f t="shared" si="1"/>
        <v>121</v>
      </c>
      <c r="K71" s="48">
        <f t="shared" si="0"/>
        <v>105</v>
      </c>
      <c r="L71" s="49">
        <f t="shared" si="2"/>
        <v>96</v>
      </c>
    </row>
    <row r="72" spans="1:12" ht="15.75" x14ac:dyDescent="0.25">
      <c r="A72" s="37">
        <v>4420</v>
      </c>
      <c r="B72" s="34"/>
      <c r="C72" s="35" t="s">
        <v>8</v>
      </c>
      <c r="D72" s="36">
        <v>193.66870630399998</v>
      </c>
      <c r="E72" s="38">
        <f>D72*(1-'[1]Discounts page'!D$9)</f>
        <v>77.467482521600004</v>
      </c>
      <c r="F72" s="36">
        <v>174.30183567359998</v>
      </c>
      <c r="G72" s="38">
        <f>F72*(1-'[1]Discounts page'!D$9)</f>
        <v>69.720734269440001</v>
      </c>
      <c r="H72" s="36">
        <v>164.61840035839998</v>
      </c>
      <c r="I72" s="38">
        <f>H72*(1-'[1]Discounts page'!D$9)</f>
        <v>65.847360143359992</v>
      </c>
      <c r="J72" s="47">
        <f t="shared" si="1"/>
        <v>124</v>
      </c>
      <c r="K72" s="48">
        <f t="shared" si="0"/>
        <v>109</v>
      </c>
      <c r="L72" s="49">
        <f t="shared" si="2"/>
        <v>99</v>
      </c>
    </row>
    <row r="73" spans="1:12" ht="15.75" x14ac:dyDescent="0.25">
      <c r="A73" s="37">
        <v>4575</v>
      </c>
      <c r="B73" s="34"/>
      <c r="C73" s="35" t="s">
        <v>8</v>
      </c>
      <c r="D73" s="36">
        <v>199.70670182399996</v>
      </c>
      <c r="E73" s="38">
        <f>D73*(1-'[1]Discounts page'!D$9)</f>
        <v>79.882680729599997</v>
      </c>
      <c r="F73" s="36">
        <v>179.73603164159996</v>
      </c>
      <c r="G73" s="38">
        <f>F73*(1-'[1]Discounts page'!D$9)</f>
        <v>71.894412656639986</v>
      </c>
      <c r="H73" s="36">
        <v>169.75069655039997</v>
      </c>
      <c r="I73" s="38">
        <f>H73*(1-'[1]Discounts page'!D$9)</f>
        <v>67.900278620159995</v>
      </c>
      <c r="J73" s="47">
        <f t="shared" si="1"/>
        <v>128</v>
      </c>
      <c r="K73" s="48">
        <f t="shared" ref="K73:K136" si="3">ROUNDUP(G73*1.55,0)</f>
        <v>112</v>
      </c>
      <c r="L73" s="49">
        <f t="shared" si="2"/>
        <v>102</v>
      </c>
    </row>
    <row r="74" spans="1:12" ht="15.75" x14ac:dyDescent="0.25">
      <c r="A74" s="37">
        <v>4725</v>
      </c>
      <c r="B74" s="34"/>
      <c r="C74" s="35" t="s">
        <v>8</v>
      </c>
      <c r="D74" s="36">
        <v>205.89564723199999</v>
      </c>
      <c r="E74" s="38">
        <f>D74*(1-'[1]Discounts page'!D$9)</f>
        <v>82.358258892799995</v>
      </c>
      <c r="F74" s="36">
        <v>185.30608250879999</v>
      </c>
      <c r="G74" s="38">
        <f>F74*(1-'[1]Discounts page'!D$9)</f>
        <v>74.122433003520001</v>
      </c>
      <c r="H74" s="36">
        <v>175.01130014719999</v>
      </c>
      <c r="I74" s="38">
        <f>H74*(1-'[1]Discounts page'!D$9)</f>
        <v>70.004520058880004</v>
      </c>
      <c r="J74" s="47">
        <f t="shared" ref="J74:J137" si="4">ROUNDUP(E74*1.6,0)</f>
        <v>132</v>
      </c>
      <c r="K74" s="48">
        <f t="shared" si="3"/>
        <v>115</v>
      </c>
      <c r="L74" s="49">
        <f t="shared" ref="L74:L137" si="5">ROUNDUP(I74*1.5,0)</f>
        <v>106</v>
      </c>
    </row>
    <row r="75" spans="1:12" ht="15.75" x14ac:dyDescent="0.25">
      <c r="A75" s="37">
        <v>4880</v>
      </c>
      <c r="B75" s="34"/>
      <c r="C75" s="35" t="s">
        <v>8</v>
      </c>
      <c r="D75" s="36">
        <v>211.78269286399998</v>
      </c>
      <c r="E75" s="38">
        <f>D75*(1-'[1]Discounts page'!D$9)</f>
        <v>84.713077145599996</v>
      </c>
      <c r="F75" s="36">
        <v>190.60442357759999</v>
      </c>
      <c r="G75" s="38">
        <f>F75*(1-'[1]Discounts page'!D$9)</f>
        <v>76.241769431039998</v>
      </c>
      <c r="H75" s="36">
        <v>180.01528893439999</v>
      </c>
      <c r="I75" s="38">
        <f>H75*(1-'[1]Discounts page'!D$9)</f>
        <v>72.006115573759999</v>
      </c>
      <c r="J75" s="47">
        <f t="shared" si="4"/>
        <v>136</v>
      </c>
      <c r="K75" s="48">
        <f t="shared" si="3"/>
        <v>119</v>
      </c>
      <c r="L75" s="49">
        <f t="shared" si="5"/>
        <v>109</v>
      </c>
    </row>
    <row r="76" spans="1:12" ht="15.75" x14ac:dyDescent="0.25">
      <c r="A76" s="37">
        <v>5030</v>
      </c>
      <c r="B76" s="34"/>
      <c r="C76" s="35" t="s">
        <v>8</v>
      </c>
      <c r="D76" s="36">
        <v>217.82068838399996</v>
      </c>
      <c r="E76" s="38">
        <f>D76*(1-'[1]Discounts page'!D$9)</f>
        <v>87.128275353599989</v>
      </c>
      <c r="F76" s="36">
        <v>196.03861954559997</v>
      </c>
      <c r="G76" s="38">
        <f>F76*(1-'[1]Discounts page'!D$9)</f>
        <v>78.415447818239997</v>
      </c>
      <c r="H76" s="36">
        <v>185.14758512639997</v>
      </c>
      <c r="I76" s="38">
        <f>H76*(1-'[1]Discounts page'!D$9)</f>
        <v>74.059034050559987</v>
      </c>
      <c r="J76" s="47">
        <f t="shared" si="4"/>
        <v>140</v>
      </c>
      <c r="K76" s="48">
        <f t="shared" si="3"/>
        <v>122</v>
      </c>
      <c r="L76" s="49">
        <f t="shared" si="5"/>
        <v>112</v>
      </c>
    </row>
    <row r="77" spans="1:12" ht="15.75" x14ac:dyDescent="0.25">
      <c r="A77" s="37">
        <v>5185</v>
      </c>
      <c r="B77" s="34"/>
      <c r="C77" s="35" t="s">
        <v>8</v>
      </c>
      <c r="D77" s="36">
        <v>224.00963379199999</v>
      </c>
      <c r="E77" s="38">
        <f>D77*(1-'[1]Discounts page'!D$9)</f>
        <v>89.603853516800001</v>
      </c>
      <c r="F77" s="36">
        <v>201.6086704128</v>
      </c>
      <c r="G77" s="38">
        <f>F77*(1-'[1]Discounts page'!D$9)</f>
        <v>80.643468165119998</v>
      </c>
      <c r="H77" s="36">
        <v>190.4081887232</v>
      </c>
      <c r="I77" s="38">
        <f>H77*(1-'[1]Discounts page'!D$9)</f>
        <v>76.163275489279997</v>
      </c>
      <c r="J77" s="47">
        <f t="shared" si="4"/>
        <v>144</v>
      </c>
      <c r="K77" s="48">
        <f t="shared" si="3"/>
        <v>125</v>
      </c>
      <c r="L77" s="49">
        <f t="shared" si="5"/>
        <v>115</v>
      </c>
    </row>
    <row r="78" spans="1:12" ht="15.75" x14ac:dyDescent="0.25">
      <c r="A78" s="37">
        <v>5335</v>
      </c>
      <c r="B78" s="34"/>
      <c r="C78" s="35" t="s">
        <v>8</v>
      </c>
      <c r="D78" s="36">
        <v>229.89667942399998</v>
      </c>
      <c r="E78" s="38">
        <f>D78*(1-'[1]Discounts page'!D$9)</f>
        <v>91.958671769600002</v>
      </c>
      <c r="F78" s="36">
        <v>206.90701148159999</v>
      </c>
      <c r="G78" s="38">
        <f>F78*(1-'[1]Discounts page'!D$9)</f>
        <v>82.762804592640009</v>
      </c>
      <c r="H78" s="36">
        <v>195.41217751039997</v>
      </c>
      <c r="I78" s="38">
        <f>H78*(1-'[1]Discounts page'!D$9)</f>
        <v>78.164871004159991</v>
      </c>
      <c r="J78" s="47">
        <f t="shared" si="4"/>
        <v>148</v>
      </c>
      <c r="K78" s="48">
        <f t="shared" si="3"/>
        <v>129</v>
      </c>
      <c r="L78" s="49">
        <f t="shared" si="5"/>
        <v>118</v>
      </c>
    </row>
    <row r="79" spans="1:12" ht="15.75" x14ac:dyDescent="0.25">
      <c r="A79" s="37">
        <v>5490</v>
      </c>
      <c r="B79" s="34"/>
      <c r="C79" s="35" t="s">
        <v>8</v>
      </c>
      <c r="D79" s="36">
        <v>237.57311018666664</v>
      </c>
      <c r="E79" s="38">
        <f>D79*(1-'[1]Discounts page'!D$9)</f>
        <v>95.029244074666664</v>
      </c>
      <c r="F79" s="36">
        <v>213.81579916799998</v>
      </c>
      <c r="G79" s="38">
        <f>F79*(1-'[1]Discounts page'!D$9)</f>
        <v>85.526319667199999</v>
      </c>
      <c r="H79" s="36">
        <v>201.93714365866663</v>
      </c>
      <c r="I79" s="38">
        <f>H79*(1-'[1]Discounts page'!D$9)</f>
        <v>80.77485746346666</v>
      </c>
      <c r="J79" s="47">
        <f t="shared" si="4"/>
        <v>153</v>
      </c>
      <c r="K79" s="48">
        <f t="shared" si="3"/>
        <v>133</v>
      </c>
      <c r="L79" s="49">
        <f t="shared" si="5"/>
        <v>122</v>
      </c>
    </row>
    <row r="80" spans="1:12" ht="15.75" x14ac:dyDescent="0.25">
      <c r="A80" s="37">
        <v>5640</v>
      </c>
      <c r="B80" s="34"/>
      <c r="C80" s="35" t="s">
        <v>8</v>
      </c>
      <c r="D80" s="36">
        <v>243.34903992888891</v>
      </c>
      <c r="E80" s="38">
        <f>D80*(1-'[1]Discounts page'!D$9)</f>
        <v>97.339615971555574</v>
      </c>
      <c r="F80" s="36">
        <v>219.01413593600003</v>
      </c>
      <c r="G80" s="38">
        <f>F80*(1-'[1]Discounts page'!D$9)</f>
        <v>87.605654374400018</v>
      </c>
      <c r="H80" s="36">
        <v>206.84668393955556</v>
      </c>
      <c r="I80" s="38">
        <f>H80*(1-'[1]Discounts page'!D$9)</f>
        <v>82.738673575822233</v>
      </c>
      <c r="J80" s="47">
        <f t="shared" si="4"/>
        <v>156</v>
      </c>
      <c r="K80" s="48">
        <f t="shared" si="3"/>
        <v>136</v>
      </c>
      <c r="L80" s="49">
        <f t="shared" si="5"/>
        <v>125</v>
      </c>
    </row>
    <row r="81" spans="1:12" ht="15.75" x14ac:dyDescent="0.25">
      <c r="A81" s="37">
        <v>5795</v>
      </c>
      <c r="B81" s="34"/>
      <c r="C81" s="35" t="s">
        <v>8</v>
      </c>
      <c r="D81" s="36">
        <v>249.42896597333336</v>
      </c>
      <c r="E81" s="38">
        <f>D81*(1-'[1]Discounts page'!D$9)</f>
        <v>99.771586389333351</v>
      </c>
      <c r="F81" s="36">
        <v>224.48606937600002</v>
      </c>
      <c r="G81" s="38">
        <f>F81*(1-'[1]Discounts page'!D$9)</f>
        <v>89.794427750400018</v>
      </c>
      <c r="H81" s="36">
        <v>212.01462107733335</v>
      </c>
      <c r="I81" s="38">
        <f>H81*(1-'[1]Discounts page'!D$9)</f>
        <v>84.805848430933338</v>
      </c>
      <c r="J81" s="47">
        <f t="shared" si="4"/>
        <v>160</v>
      </c>
      <c r="K81" s="48">
        <f t="shared" si="3"/>
        <v>140</v>
      </c>
      <c r="L81" s="49">
        <f t="shared" si="5"/>
        <v>128</v>
      </c>
    </row>
    <row r="82" spans="1:12" ht="15.75" x14ac:dyDescent="0.25">
      <c r="A82" s="37">
        <v>5945</v>
      </c>
      <c r="B82" s="34"/>
      <c r="C82" s="35" t="s">
        <v>8</v>
      </c>
      <c r="D82" s="36">
        <v>255.66089016888893</v>
      </c>
      <c r="E82" s="38">
        <f>D82*(1-'[1]Discounts page'!D$9)</f>
        <v>102.26435606755558</v>
      </c>
      <c r="F82" s="36">
        <v>230.09480115200003</v>
      </c>
      <c r="G82" s="38">
        <f>F82*(1-'[1]Discounts page'!D$9)</f>
        <v>92.037920460800024</v>
      </c>
      <c r="H82" s="36">
        <v>217.31175664355558</v>
      </c>
      <c r="I82" s="38">
        <f>H82*(1-'[1]Discounts page'!D$9)</f>
        <v>86.924702657422245</v>
      </c>
      <c r="J82" s="47">
        <f t="shared" si="4"/>
        <v>164</v>
      </c>
      <c r="K82" s="48">
        <f t="shared" si="3"/>
        <v>143</v>
      </c>
      <c r="L82" s="49">
        <f t="shared" si="5"/>
        <v>131</v>
      </c>
    </row>
    <row r="83" spans="1:12" ht="15.75" x14ac:dyDescent="0.25">
      <c r="A83" s="37">
        <v>6100</v>
      </c>
      <c r="B83" s="34"/>
      <c r="C83" s="35" t="s">
        <v>8</v>
      </c>
      <c r="D83" s="36">
        <v>263.7715639253334</v>
      </c>
      <c r="E83" s="38">
        <f>D83*(1-'[1]Discounts page'!D$9)</f>
        <v>105.50862557013336</v>
      </c>
      <c r="F83" s="36">
        <v>237.39440753280007</v>
      </c>
      <c r="G83" s="38">
        <f>F83*(1-'[1]Discounts page'!D$9)</f>
        <v>94.957763013120029</v>
      </c>
      <c r="H83" s="36">
        <v>224.20582933653338</v>
      </c>
      <c r="I83" s="38">
        <f>H83*(1-'[1]Discounts page'!D$9)</f>
        <v>89.682331734613356</v>
      </c>
      <c r="J83" s="47">
        <f t="shared" si="4"/>
        <v>169</v>
      </c>
      <c r="K83" s="48">
        <f t="shared" si="3"/>
        <v>148</v>
      </c>
      <c r="L83" s="49">
        <f t="shared" si="5"/>
        <v>135</v>
      </c>
    </row>
    <row r="84" spans="1:12" ht="15.75" x14ac:dyDescent="0.25">
      <c r="A84" s="37">
        <v>6250</v>
      </c>
      <c r="B84" s="34"/>
      <c r="C84" s="35" t="s">
        <v>8</v>
      </c>
      <c r="D84" s="36">
        <v>269.74548436266667</v>
      </c>
      <c r="E84" s="38">
        <f>D84*(1-'[1]Discounts page'!D$9)</f>
        <v>107.89819374506668</v>
      </c>
      <c r="F84" s="36">
        <v>242.7709359264</v>
      </c>
      <c r="G84" s="38">
        <f>F84*(1-'[1]Discounts page'!D$9)</f>
        <v>97.10837437056</v>
      </c>
      <c r="H84" s="36">
        <v>229.28366170826666</v>
      </c>
      <c r="I84" s="38">
        <f>H84*(1-'[1]Discounts page'!D$9)</f>
        <v>91.713464683306668</v>
      </c>
      <c r="J84" s="47">
        <f t="shared" si="4"/>
        <v>173</v>
      </c>
      <c r="K84" s="48">
        <f t="shared" si="3"/>
        <v>151</v>
      </c>
      <c r="L84" s="49">
        <f t="shared" si="5"/>
        <v>138</v>
      </c>
    </row>
    <row r="85" spans="1:12" ht="15.75" x14ac:dyDescent="0.25">
      <c r="A85" s="37">
        <v>6400</v>
      </c>
      <c r="B85" s="34"/>
      <c r="C85" s="35" t="s">
        <v>8</v>
      </c>
      <c r="D85" s="36">
        <v>276.02575969422219</v>
      </c>
      <c r="E85" s="38">
        <f>D85*(1-'[1]Discounts page'!D$9)</f>
        <v>110.41030387768888</v>
      </c>
      <c r="F85" s="36">
        <v>248.42318372479997</v>
      </c>
      <c r="G85" s="38">
        <f>F85*(1-'[1]Discounts page'!D$9)</f>
        <v>99.369273489919991</v>
      </c>
      <c r="H85" s="36">
        <v>234.62189574008886</v>
      </c>
      <c r="I85" s="38">
        <f>H85*(1-'[1]Discounts page'!D$9)</f>
        <v>93.848758296035555</v>
      </c>
      <c r="J85" s="47">
        <f t="shared" si="4"/>
        <v>177</v>
      </c>
      <c r="K85" s="48">
        <f t="shared" si="3"/>
        <v>155</v>
      </c>
      <c r="L85" s="49">
        <f t="shared" si="5"/>
        <v>141</v>
      </c>
    </row>
    <row r="86" spans="1:12" ht="15.75" x14ac:dyDescent="0.25">
      <c r="A86" s="37" t="s">
        <v>14</v>
      </c>
      <c r="B86" s="34"/>
      <c r="C86" s="35" t="s">
        <v>8</v>
      </c>
      <c r="D86" s="36">
        <v>281.99968013155558</v>
      </c>
      <c r="E86" s="38">
        <f>D86*(1-'[1]Discounts page'!D$9)</f>
        <v>112.79987205262223</v>
      </c>
      <c r="F86" s="36">
        <v>253.79971211840004</v>
      </c>
      <c r="G86" s="38">
        <f>F86*(1-'[1]Discounts page'!D$9)</f>
        <v>101.51988484736002</v>
      </c>
      <c r="H86" s="36">
        <v>239.69972811182222</v>
      </c>
      <c r="I86" s="38">
        <f>H86*(1-'[1]Discounts page'!D$9)</f>
        <v>95.879891244728896</v>
      </c>
      <c r="J86" s="47">
        <f t="shared" si="4"/>
        <v>181</v>
      </c>
      <c r="K86" s="48">
        <f t="shared" si="3"/>
        <v>158</v>
      </c>
      <c r="L86" s="49">
        <f t="shared" si="5"/>
        <v>144</v>
      </c>
    </row>
    <row r="87" spans="1:12" ht="15.75" x14ac:dyDescent="0.25">
      <c r="A87" s="37" t="s">
        <v>15</v>
      </c>
      <c r="B87" s="34"/>
      <c r="C87" s="35" t="s">
        <v>8</v>
      </c>
      <c r="D87" s="36">
        <v>287.66724567466667</v>
      </c>
      <c r="E87" s="38">
        <f>D87*(1-'[1]Discounts page'!D$9)</f>
        <v>115.06689826986667</v>
      </c>
      <c r="F87" s="36">
        <v>258.90052110720001</v>
      </c>
      <c r="G87" s="38">
        <f>F87*(1-'[1]Discounts page'!D$9)</f>
        <v>103.56020844288001</v>
      </c>
      <c r="H87" s="36">
        <v>244.51715882346667</v>
      </c>
      <c r="I87" s="38">
        <f>H87*(1-'[1]Discounts page'!D$9)</f>
        <v>97.806863529386675</v>
      </c>
      <c r="J87" s="47">
        <f t="shared" si="4"/>
        <v>185</v>
      </c>
      <c r="K87" s="48">
        <f t="shared" si="3"/>
        <v>161</v>
      </c>
      <c r="L87" s="49">
        <f t="shared" si="5"/>
        <v>147</v>
      </c>
    </row>
    <row r="88" spans="1:12" ht="15.75" x14ac:dyDescent="0.25">
      <c r="A88" s="37" t="s">
        <v>16</v>
      </c>
      <c r="B88" s="34"/>
      <c r="C88" s="35" t="s">
        <v>8</v>
      </c>
      <c r="D88" s="36">
        <v>294.10069845333339</v>
      </c>
      <c r="E88" s="38">
        <f>D88*(1-'[1]Discounts page'!D$9)</f>
        <v>117.64027938133336</v>
      </c>
      <c r="F88" s="36">
        <v>264.69062860800005</v>
      </c>
      <c r="G88" s="38">
        <f>F88*(1-'[1]Discounts page'!D$9)</f>
        <v>105.87625144320003</v>
      </c>
      <c r="H88" s="36">
        <v>249.98559368533338</v>
      </c>
      <c r="I88" s="38">
        <f>H88*(1-'[1]Discounts page'!D$9)</f>
        <v>99.994237474133357</v>
      </c>
      <c r="J88" s="47">
        <f t="shared" si="4"/>
        <v>189</v>
      </c>
      <c r="K88" s="48">
        <f t="shared" si="3"/>
        <v>165</v>
      </c>
      <c r="L88" s="49">
        <f t="shared" si="5"/>
        <v>150</v>
      </c>
    </row>
    <row r="89" spans="1:12" ht="15.75" x14ac:dyDescent="0.25">
      <c r="A89" s="37" t="s">
        <v>17</v>
      </c>
      <c r="B89" s="34"/>
      <c r="C89" s="35" t="s">
        <v>8</v>
      </c>
      <c r="D89" s="36">
        <v>302.6935732408889</v>
      </c>
      <c r="E89" s="38">
        <f>D89*(1-'[1]Discounts page'!D$9)</f>
        <v>121.07742929635556</v>
      </c>
      <c r="F89" s="36">
        <v>272.42421591679999</v>
      </c>
      <c r="G89" s="38">
        <f>F89*(1-'[1]Discounts page'!D$9)</f>
        <v>108.96968636672</v>
      </c>
      <c r="H89" s="36">
        <v>257.28953725475554</v>
      </c>
      <c r="I89" s="38">
        <f>H89*(1-'[1]Discounts page'!D$9)</f>
        <v>102.91581490190222</v>
      </c>
      <c r="J89" s="47">
        <f t="shared" si="4"/>
        <v>194</v>
      </c>
      <c r="K89" s="48">
        <f t="shared" si="3"/>
        <v>169</v>
      </c>
      <c r="L89" s="49">
        <f t="shared" si="5"/>
        <v>155</v>
      </c>
    </row>
    <row r="90" spans="1:12" ht="15.75" x14ac:dyDescent="0.25">
      <c r="A90" s="37" t="s">
        <v>18</v>
      </c>
      <c r="B90" s="34"/>
      <c r="C90" s="35" t="s">
        <v>8</v>
      </c>
      <c r="D90" s="36">
        <v>308.86784296533335</v>
      </c>
      <c r="E90" s="38">
        <f>D90*(1-'[1]Discounts page'!D$9)</f>
        <v>123.54713718613334</v>
      </c>
      <c r="F90" s="36">
        <v>277.98105866880002</v>
      </c>
      <c r="G90" s="38">
        <f>F90*(1-'[1]Discounts page'!D$9)</f>
        <v>111.19242346752002</v>
      </c>
      <c r="H90" s="36">
        <v>262.53766652053332</v>
      </c>
      <c r="I90" s="38">
        <f>H90*(1-'[1]Discounts page'!D$9)</f>
        <v>105.01506660821333</v>
      </c>
      <c r="J90" s="47">
        <f t="shared" si="4"/>
        <v>198</v>
      </c>
      <c r="K90" s="48">
        <f t="shared" si="3"/>
        <v>173</v>
      </c>
      <c r="L90" s="49">
        <f t="shared" si="5"/>
        <v>158</v>
      </c>
    </row>
    <row r="91" spans="1:12" ht="15.75" x14ac:dyDescent="0.25">
      <c r="A91" s="37" t="s">
        <v>19</v>
      </c>
      <c r="B91" s="34"/>
      <c r="C91" s="35" t="s">
        <v>8</v>
      </c>
      <c r="D91" s="36">
        <v>315.04211268977781</v>
      </c>
      <c r="E91" s="38">
        <f>D91*(1-'[1]Discounts page'!D$9)</f>
        <v>126.01684507591114</v>
      </c>
      <c r="F91" s="36">
        <v>283.53790142080004</v>
      </c>
      <c r="G91" s="38">
        <f>F91*(1-'[1]Discounts page'!D$9)</f>
        <v>113.41516056832002</v>
      </c>
      <c r="H91" s="36">
        <v>267.78579578631116</v>
      </c>
      <c r="I91" s="38">
        <f>H91*(1-'[1]Discounts page'!D$9)</f>
        <v>107.11431831452447</v>
      </c>
      <c r="J91" s="47">
        <f t="shared" si="4"/>
        <v>202</v>
      </c>
      <c r="K91" s="48">
        <f t="shared" si="3"/>
        <v>176</v>
      </c>
      <c r="L91" s="49">
        <f t="shared" si="5"/>
        <v>161</v>
      </c>
    </row>
    <row r="92" spans="1:12" ht="15.75" x14ac:dyDescent="0.25">
      <c r="A92" s="37" t="s">
        <v>20</v>
      </c>
      <c r="B92" s="34"/>
      <c r="C92" s="35" t="s">
        <v>8</v>
      </c>
      <c r="D92" s="36">
        <v>321.0620256711112</v>
      </c>
      <c r="E92" s="38">
        <f>D92*(1-'[1]Discounts page'!D$9)</f>
        <v>128.42481026844447</v>
      </c>
      <c r="F92" s="36">
        <v>288.9558231040001</v>
      </c>
      <c r="G92" s="38">
        <f>F92*(1-'[1]Discounts page'!D$9)</f>
        <v>115.58232924160005</v>
      </c>
      <c r="H92" s="36">
        <v>272.90272182044453</v>
      </c>
      <c r="I92" s="38">
        <f>H92*(1-'[1]Discounts page'!D$9)</f>
        <v>109.16108872817782</v>
      </c>
      <c r="J92" s="47">
        <f t="shared" si="4"/>
        <v>206</v>
      </c>
      <c r="K92" s="48">
        <f t="shared" si="3"/>
        <v>180</v>
      </c>
      <c r="L92" s="49">
        <f t="shared" si="5"/>
        <v>164</v>
      </c>
    </row>
    <row r="93" spans="1:12" ht="15.75" x14ac:dyDescent="0.25">
      <c r="A93" s="37" t="s">
        <v>21</v>
      </c>
      <c r="B93" s="34"/>
      <c r="C93" s="35" t="s">
        <v>8</v>
      </c>
      <c r="D93" s="36">
        <v>327.2362953955556</v>
      </c>
      <c r="E93" s="38">
        <f>D93*(1-'[1]Discounts page'!D$9)</f>
        <v>130.89451815822224</v>
      </c>
      <c r="F93" s="36">
        <v>294.51266585600007</v>
      </c>
      <c r="G93" s="38">
        <f>F93*(1-'[1]Discounts page'!D$9)</f>
        <v>117.80506634240004</v>
      </c>
      <c r="H93" s="36">
        <v>278.15085108622225</v>
      </c>
      <c r="I93" s="38">
        <f>H93*(1-'[1]Discounts page'!D$9)</f>
        <v>111.26034043448891</v>
      </c>
      <c r="J93" s="47">
        <f t="shared" si="4"/>
        <v>210</v>
      </c>
      <c r="K93" s="48">
        <f t="shared" si="3"/>
        <v>183</v>
      </c>
      <c r="L93" s="49">
        <f t="shared" si="5"/>
        <v>167</v>
      </c>
    </row>
    <row r="94" spans="1:12" ht="15.75" x14ac:dyDescent="0.25">
      <c r="A94" s="37" t="s">
        <v>22</v>
      </c>
      <c r="B94" s="34"/>
      <c r="C94" s="35" t="s">
        <v>8</v>
      </c>
      <c r="D94" s="36">
        <v>333.41056512000006</v>
      </c>
      <c r="E94" s="38">
        <f>D94*(1-'[1]Discounts page'!D$9)</f>
        <v>133.36422604800003</v>
      </c>
      <c r="F94" s="36">
        <v>300.06950860800004</v>
      </c>
      <c r="G94" s="38">
        <f>F94*(1-'[1]Discounts page'!D$9)</f>
        <v>120.02780344320001</v>
      </c>
      <c r="H94" s="36">
        <v>283.39898035200002</v>
      </c>
      <c r="I94" s="38">
        <f>H94*(1-'[1]Discounts page'!D$9)</f>
        <v>113.35959214080002</v>
      </c>
      <c r="J94" s="47">
        <f t="shared" si="4"/>
        <v>214</v>
      </c>
      <c r="K94" s="48">
        <f t="shared" si="3"/>
        <v>187</v>
      </c>
      <c r="L94" s="49">
        <f t="shared" si="5"/>
        <v>171</v>
      </c>
    </row>
    <row r="95" spans="1:12" ht="15.75" x14ac:dyDescent="0.25">
      <c r="A95" s="37" t="s">
        <v>23</v>
      </c>
      <c r="B95" s="34"/>
      <c r="C95" s="35" t="s">
        <v>8</v>
      </c>
      <c r="D95" s="36">
        <v>339.43047810133334</v>
      </c>
      <c r="E95" s="38">
        <f>D95*(1-'[1]Discounts page'!D$9)</f>
        <v>135.77219124053335</v>
      </c>
      <c r="F95" s="36">
        <v>305.48743029119998</v>
      </c>
      <c r="G95" s="38">
        <f>F95*(1-'[1]Discounts page'!D$9)</f>
        <v>122.19497211648</v>
      </c>
      <c r="H95" s="36">
        <v>288.51590638613334</v>
      </c>
      <c r="I95" s="38">
        <f>H95*(1-'[1]Discounts page'!D$9)</f>
        <v>115.40636255445334</v>
      </c>
      <c r="J95" s="47">
        <f t="shared" si="4"/>
        <v>218</v>
      </c>
      <c r="K95" s="48">
        <f t="shared" si="3"/>
        <v>190</v>
      </c>
      <c r="L95" s="49">
        <f t="shared" si="5"/>
        <v>174</v>
      </c>
    </row>
    <row r="96" spans="1:12" ht="15.75" x14ac:dyDescent="0.25">
      <c r="A96" s="37" t="s">
        <v>24</v>
      </c>
      <c r="B96" s="34"/>
      <c r="C96" s="35" t="s">
        <v>8</v>
      </c>
      <c r="D96" s="36">
        <v>345.75910456888892</v>
      </c>
      <c r="E96" s="38">
        <f>D96*(1-'[1]Discounts page'!D$9)</f>
        <v>138.30364182755557</v>
      </c>
      <c r="F96" s="36">
        <v>311.18319411200002</v>
      </c>
      <c r="G96" s="38">
        <f>F96*(1-'[1]Discounts page'!D$9)</f>
        <v>124.47327764480002</v>
      </c>
      <c r="H96" s="36">
        <v>293.89523888355558</v>
      </c>
      <c r="I96" s="38">
        <f>H96*(1-'[1]Discounts page'!D$9)</f>
        <v>117.55809555342223</v>
      </c>
      <c r="J96" s="47">
        <f t="shared" si="4"/>
        <v>222</v>
      </c>
      <c r="K96" s="48">
        <f t="shared" si="3"/>
        <v>193</v>
      </c>
      <c r="L96" s="49">
        <f t="shared" si="5"/>
        <v>177</v>
      </c>
    </row>
    <row r="97" spans="1:12" ht="15.75" x14ac:dyDescent="0.25">
      <c r="A97" s="33" t="s">
        <v>25</v>
      </c>
      <c r="B97" s="34"/>
      <c r="C97" s="35"/>
      <c r="D97" s="36"/>
      <c r="E97" s="38"/>
      <c r="F97" s="36"/>
      <c r="G97" s="38"/>
      <c r="H97" s="36"/>
      <c r="I97" s="38"/>
      <c r="J97" s="47">
        <f t="shared" si="4"/>
        <v>0</v>
      </c>
      <c r="K97" s="48">
        <f t="shared" si="3"/>
        <v>0</v>
      </c>
      <c r="L97" s="49">
        <f t="shared" si="5"/>
        <v>0</v>
      </c>
    </row>
    <row r="98" spans="1:12" ht="15.75" x14ac:dyDescent="0.25">
      <c r="A98" s="37">
        <v>2895</v>
      </c>
      <c r="B98" s="34"/>
      <c r="C98" s="35" t="s">
        <v>8</v>
      </c>
      <c r="D98" s="36">
        <v>166.95647260799998</v>
      </c>
      <c r="E98" s="38">
        <f>D98*(1-'[1]Discounts page'!D$9)</f>
        <v>66.782589043199991</v>
      </c>
      <c r="F98" s="36">
        <v>150.26082534719998</v>
      </c>
      <c r="G98" s="38">
        <f>F98*(1-'[1]Discounts page'!D$9)</f>
        <v>60.104330138879995</v>
      </c>
      <c r="H98" s="36">
        <v>141.91300171679998</v>
      </c>
      <c r="I98" s="38">
        <f>H98*(1-'[1]Discounts page'!D$9)</f>
        <v>56.765200686719993</v>
      </c>
      <c r="J98" s="47">
        <f t="shared" si="4"/>
        <v>107</v>
      </c>
      <c r="K98" s="48">
        <f t="shared" si="3"/>
        <v>94</v>
      </c>
      <c r="L98" s="49">
        <f t="shared" si="5"/>
        <v>86</v>
      </c>
    </row>
    <row r="99" spans="1:12" ht="15.75" x14ac:dyDescent="0.25">
      <c r="A99" s="37">
        <v>3050</v>
      </c>
      <c r="B99" s="34"/>
      <c r="C99" s="35" t="s">
        <v>8</v>
      </c>
      <c r="D99" s="36">
        <v>174.94987192888891</v>
      </c>
      <c r="E99" s="38">
        <f>D99*(1-'[1]Discounts page'!D$9)</f>
        <v>69.97994877155557</v>
      </c>
      <c r="F99" s="36">
        <v>157.45488473600003</v>
      </c>
      <c r="G99" s="38">
        <f>F99*(1-'[1]Discounts page'!D$9)</f>
        <v>62.981953894400014</v>
      </c>
      <c r="H99" s="36">
        <v>148.70739113955557</v>
      </c>
      <c r="I99" s="38">
        <f>H99*(1-'[1]Discounts page'!D$9)</f>
        <v>59.482956455822233</v>
      </c>
      <c r="J99" s="47">
        <f t="shared" si="4"/>
        <v>112</v>
      </c>
      <c r="K99" s="48">
        <f t="shared" si="3"/>
        <v>98</v>
      </c>
      <c r="L99" s="49">
        <f t="shared" si="5"/>
        <v>90</v>
      </c>
    </row>
    <row r="100" spans="1:12" ht="15.75" x14ac:dyDescent="0.25">
      <c r="A100" s="37">
        <v>3200</v>
      </c>
      <c r="B100" s="34"/>
      <c r="C100" s="35" t="s">
        <v>8</v>
      </c>
      <c r="D100" s="36">
        <v>182.49081468444444</v>
      </c>
      <c r="E100" s="38">
        <f>D100*(1-'[1]Discounts page'!D$9)</f>
        <v>72.996325873777778</v>
      </c>
      <c r="F100" s="36">
        <v>164.241733216</v>
      </c>
      <c r="G100" s="38">
        <f>F100*(1-'[1]Discounts page'!D$9)</f>
        <v>65.696693286400006</v>
      </c>
      <c r="H100" s="36">
        <v>155.11719248177778</v>
      </c>
      <c r="I100" s="38">
        <f>H100*(1-'[1]Discounts page'!D$9)</f>
        <v>62.046876992711113</v>
      </c>
      <c r="J100" s="47">
        <f t="shared" si="4"/>
        <v>117</v>
      </c>
      <c r="K100" s="48">
        <f t="shared" si="3"/>
        <v>102</v>
      </c>
      <c r="L100" s="49">
        <f t="shared" si="5"/>
        <v>94</v>
      </c>
    </row>
    <row r="101" spans="1:12" ht="15.75" x14ac:dyDescent="0.25">
      <c r="A101" s="37">
        <v>3355</v>
      </c>
      <c r="B101" s="34"/>
      <c r="C101" s="35" t="s">
        <v>8</v>
      </c>
      <c r="D101" s="36">
        <v>190.33339515022223</v>
      </c>
      <c r="E101" s="38">
        <f>D101*(1-'[1]Discounts page'!D$9)</f>
        <v>76.133358060088895</v>
      </c>
      <c r="F101" s="36">
        <v>171.30005563520001</v>
      </c>
      <c r="G101" s="38">
        <f>F101*(1-'[1]Discounts page'!D$9)</f>
        <v>68.520022254080004</v>
      </c>
      <c r="H101" s="36">
        <v>161.78338587768889</v>
      </c>
      <c r="I101" s="38">
        <f>H101*(1-'[1]Discounts page'!D$9)</f>
        <v>64.713354351075552</v>
      </c>
      <c r="J101" s="47">
        <f t="shared" si="4"/>
        <v>122</v>
      </c>
      <c r="K101" s="48">
        <f t="shared" si="3"/>
        <v>107</v>
      </c>
      <c r="L101" s="49">
        <f t="shared" si="5"/>
        <v>98</v>
      </c>
    </row>
    <row r="102" spans="1:12" ht="15.75" x14ac:dyDescent="0.25">
      <c r="A102" s="37">
        <v>3510</v>
      </c>
      <c r="B102" s="34"/>
      <c r="C102" s="35" t="s">
        <v>8</v>
      </c>
      <c r="D102" s="36">
        <v>198.77925103644446</v>
      </c>
      <c r="E102" s="38">
        <f>D102*(1-'[1]Discounts page'!D$9)</f>
        <v>79.511700414577788</v>
      </c>
      <c r="F102" s="36">
        <v>178.90132593280003</v>
      </c>
      <c r="G102" s="38">
        <f>F102*(1-'[1]Discounts page'!D$9)</f>
        <v>71.560530373120017</v>
      </c>
      <c r="H102" s="36">
        <v>168.96236338097779</v>
      </c>
      <c r="I102" s="38">
        <f>H102*(1-'[1]Discounts page'!D$9)</f>
        <v>67.584945352391117</v>
      </c>
      <c r="J102" s="47">
        <f t="shared" si="4"/>
        <v>128</v>
      </c>
      <c r="K102" s="48">
        <f t="shared" si="3"/>
        <v>111</v>
      </c>
      <c r="L102" s="49">
        <f t="shared" si="5"/>
        <v>102</v>
      </c>
    </row>
    <row r="103" spans="1:12" ht="15.75" x14ac:dyDescent="0.25">
      <c r="A103" s="37">
        <v>3660</v>
      </c>
      <c r="B103" s="34"/>
      <c r="C103" s="35" t="s">
        <v>8</v>
      </c>
      <c r="D103" s="36">
        <v>206.32019379199997</v>
      </c>
      <c r="E103" s="38">
        <f>D103*(1-'[1]Discounts page'!D$9)</f>
        <v>82.528077516799996</v>
      </c>
      <c r="F103" s="36">
        <v>185.68817441279998</v>
      </c>
      <c r="G103" s="38">
        <f>F103*(1-'[1]Discounts page'!D$9)</f>
        <v>74.275269765120001</v>
      </c>
      <c r="H103" s="36">
        <v>175.37216472319997</v>
      </c>
      <c r="I103" s="38">
        <f>H103*(1-'[1]Discounts page'!D$9)</f>
        <v>70.148865889279989</v>
      </c>
      <c r="J103" s="47">
        <f t="shared" si="4"/>
        <v>133</v>
      </c>
      <c r="K103" s="48">
        <f t="shared" si="3"/>
        <v>116</v>
      </c>
      <c r="L103" s="49">
        <f t="shared" si="5"/>
        <v>106</v>
      </c>
    </row>
    <row r="104" spans="1:12" ht="15.75" x14ac:dyDescent="0.25">
      <c r="A104" s="37">
        <v>3810</v>
      </c>
      <c r="B104" s="34"/>
      <c r="C104" s="35" t="s">
        <v>8</v>
      </c>
      <c r="D104" s="36">
        <v>214.16277425777778</v>
      </c>
      <c r="E104" s="38">
        <f>D104*(1-'[1]Discounts page'!D$9)</f>
        <v>85.665109703111114</v>
      </c>
      <c r="F104" s="36">
        <v>192.74649683200002</v>
      </c>
      <c r="G104" s="38">
        <f>F104*(1-'[1]Discounts page'!D$9)</f>
        <v>77.098598732800014</v>
      </c>
      <c r="H104" s="36">
        <v>182.03835811911111</v>
      </c>
      <c r="I104" s="38">
        <f>H104*(1-'[1]Discounts page'!D$9)</f>
        <v>72.815343247644449</v>
      </c>
      <c r="J104" s="47">
        <f t="shared" si="4"/>
        <v>138</v>
      </c>
      <c r="K104" s="48">
        <f t="shared" si="3"/>
        <v>120</v>
      </c>
      <c r="L104" s="49">
        <f t="shared" si="5"/>
        <v>110</v>
      </c>
    </row>
    <row r="105" spans="1:12" ht="15.75" x14ac:dyDescent="0.25">
      <c r="A105" s="37">
        <v>3965</v>
      </c>
      <c r="B105" s="34"/>
      <c r="C105" s="35" t="s">
        <v>8</v>
      </c>
      <c r="D105" s="36">
        <v>222.75944899911113</v>
      </c>
      <c r="E105" s="38">
        <f>D105*(1-'[1]Discounts page'!D$9)</f>
        <v>89.103779599644454</v>
      </c>
      <c r="F105" s="36">
        <v>200.48350409920002</v>
      </c>
      <c r="G105" s="38">
        <f>F105*(1-'[1]Discounts page'!D$9)</f>
        <v>80.193401639680019</v>
      </c>
      <c r="H105" s="36">
        <v>189.34553164924446</v>
      </c>
      <c r="I105" s="38">
        <f>H105*(1-'[1]Discounts page'!D$9)</f>
        <v>75.738212659697794</v>
      </c>
      <c r="J105" s="47">
        <f t="shared" si="4"/>
        <v>143</v>
      </c>
      <c r="K105" s="48">
        <f t="shared" si="3"/>
        <v>125</v>
      </c>
      <c r="L105" s="49">
        <f t="shared" si="5"/>
        <v>114</v>
      </c>
    </row>
    <row r="106" spans="1:12" ht="15.75" x14ac:dyDescent="0.25">
      <c r="A106" s="37">
        <v>4115</v>
      </c>
      <c r="B106" s="34"/>
      <c r="C106" s="35" t="s">
        <v>8</v>
      </c>
      <c r="D106" s="36">
        <v>230.45121060977777</v>
      </c>
      <c r="E106" s="38">
        <f>D106*(1-'[1]Discounts page'!D$9)</f>
        <v>92.18048424391111</v>
      </c>
      <c r="F106" s="36">
        <v>207.4060895488</v>
      </c>
      <c r="G106" s="38">
        <f>F106*(1-'[1]Discounts page'!D$9)</f>
        <v>82.96243581952001</v>
      </c>
      <c r="H106" s="36">
        <v>195.88352901831109</v>
      </c>
      <c r="I106" s="38">
        <f>H106*(1-'[1]Discounts page'!D$9)</f>
        <v>78.353411607324446</v>
      </c>
      <c r="J106" s="47">
        <f t="shared" si="4"/>
        <v>148</v>
      </c>
      <c r="K106" s="48">
        <f t="shared" si="3"/>
        <v>129</v>
      </c>
      <c r="L106" s="49">
        <f t="shared" si="5"/>
        <v>118</v>
      </c>
    </row>
    <row r="107" spans="1:12" ht="15.75" x14ac:dyDescent="0.25">
      <c r="A107" s="37">
        <v>4270</v>
      </c>
      <c r="B107" s="34"/>
      <c r="C107" s="35" t="s">
        <v>8</v>
      </c>
      <c r="D107" s="36">
        <v>238.29379107555559</v>
      </c>
      <c r="E107" s="38">
        <f>D107*(1-'[1]Discounts page'!D$9)</f>
        <v>95.317516430222241</v>
      </c>
      <c r="F107" s="36">
        <v>214.46441196800004</v>
      </c>
      <c r="G107" s="38">
        <f>F107*(1-'[1]Discounts page'!D$9)</f>
        <v>85.785764787200023</v>
      </c>
      <c r="H107" s="36">
        <v>202.54972241422226</v>
      </c>
      <c r="I107" s="38">
        <f>H107*(1-'[1]Discounts page'!D$9)</f>
        <v>81.019888965688907</v>
      </c>
      <c r="J107" s="47">
        <f t="shared" si="4"/>
        <v>153</v>
      </c>
      <c r="K107" s="48">
        <f t="shared" si="3"/>
        <v>133</v>
      </c>
      <c r="L107" s="49">
        <f t="shared" si="5"/>
        <v>122</v>
      </c>
    </row>
    <row r="108" spans="1:12" ht="15.75" x14ac:dyDescent="0.25">
      <c r="A108" s="37">
        <v>4420</v>
      </c>
      <c r="B108" s="34"/>
      <c r="C108" s="35" t="s">
        <v>8</v>
      </c>
      <c r="D108" s="36">
        <v>246.13637154133332</v>
      </c>
      <c r="E108" s="38">
        <f>D108*(1-'[1]Discounts page'!D$9)</f>
        <v>98.45454861653333</v>
      </c>
      <c r="F108" s="36">
        <v>221.52273438719999</v>
      </c>
      <c r="G108" s="38">
        <f>F108*(1-'[1]Discounts page'!D$9)</f>
        <v>88.609093754880007</v>
      </c>
      <c r="H108" s="36">
        <v>209.21591581013331</v>
      </c>
      <c r="I108" s="38">
        <f>H108*(1-'[1]Discounts page'!D$9)</f>
        <v>83.686366324053324</v>
      </c>
      <c r="J108" s="47">
        <f t="shared" si="4"/>
        <v>158</v>
      </c>
      <c r="K108" s="48">
        <f t="shared" si="3"/>
        <v>138</v>
      </c>
      <c r="L108" s="49">
        <f t="shared" si="5"/>
        <v>126</v>
      </c>
    </row>
    <row r="109" spans="1:12" ht="15.75" x14ac:dyDescent="0.25">
      <c r="A109" s="37">
        <v>4575</v>
      </c>
      <c r="B109" s="34"/>
      <c r="C109" s="35" t="s">
        <v>8</v>
      </c>
      <c r="D109" s="36">
        <v>253.97895200711116</v>
      </c>
      <c r="E109" s="38">
        <f>D109*(1-'[1]Discounts page'!D$9)</f>
        <v>101.59158080284448</v>
      </c>
      <c r="F109" s="36">
        <v>228.58105680640006</v>
      </c>
      <c r="G109" s="38">
        <f>F109*(1-'[1]Discounts page'!D$9)</f>
        <v>91.432422722560034</v>
      </c>
      <c r="H109" s="36">
        <v>215.88210920604448</v>
      </c>
      <c r="I109" s="38">
        <f>H109*(1-'[1]Discounts page'!D$9)</f>
        <v>86.352843682417799</v>
      </c>
      <c r="J109" s="47">
        <f t="shared" si="4"/>
        <v>163</v>
      </c>
      <c r="K109" s="48">
        <f t="shared" si="3"/>
        <v>142</v>
      </c>
      <c r="L109" s="49">
        <f t="shared" si="5"/>
        <v>130</v>
      </c>
    </row>
    <row r="110" spans="1:12" ht="15.75" x14ac:dyDescent="0.25">
      <c r="A110" s="37">
        <v>4725</v>
      </c>
      <c r="B110" s="34"/>
      <c r="C110" s="35" t="s">
        <v>8</v>
      </c>
      <c r="D110" s="36">
        <v>261.82153247288892</v>
      </c>
      <c r="E110" s="38">
        <f>D110*(1-'[1]Discounts page'!D$9)</f>
        <v>104.72861298915558</v>
      </c>
      <c r="F110" s="36">
        <v>235.63937922560004</v>
      </c>
      <c r="G110" s="38">
        <f>F110*(1-'[1]Discounts page'!D$9)</f>
        <v>94.255751690240018</v>
      </c>
      <c r="H110" s="36">
        <v>222.54830260195558</v>
      </c>
      <c r="I110" s="38">
        <f>H110*(1-'[1]Discounts page'!D$9)</f>
        <v>89.019321040782245</v>
      </c>
      <c r="J110" s="47">
        <f t="shared" si="4"/>
        <v>168</v>
      </c>
      <c r="K110" s="48">
        <f t="shared" si="3"/>
        <v>147</v>
      </c>
      <c r="L110" s="49">
        <f t="shared" si="5"/>
        <v>134</v>
      </c>
    </row>
    <row r="111" spans="1:12" ht="15.75" x14ac:dyDescent="0.25">
      <c r="A111" s="37">
        <v>4880</v>
      </c>
      <c r="B111" s="34"/>
      <c r="C111" s="35" t="s">
        <v>8</v>
      </c>
      <c r="D111" s="36">
        <v>269.51329408355559</v>
      </c>
      <c r="E111" s="38">
        <f>D111*(1-'[1]Discounts page'!D$9)</f>
        <v>107.80531763342225</v>
      </c>
      <c r="F111" s="36">
        <v>242.56196467520004</v>
      </c>
      <c r="G111" s="38">
        <f>F111*(1-'[1]Discounts page'!D$9)</f>
        <v>97.024785870080024</v>
      </c>
      <c r="H111" s="36">
        <v>229.08629997102224</v>
      </c>
      <c r="I111" s="38">
        <f>H111*(1-'[1]Discounts page'!D$9)</f>
        <v>91.634519988408897</v>
      </c>
      <c r="J111" s="47">
        <f t="shared" si="4"/>
        <v>173</v>
      </c>
      <c r="K111" s="48">
        <f t="shared" si="3"/>
        <v>151</v>
      </c>
      <c r="L111" s="49">
        <f t="shared" si="5"/>
        <v>138</v>
      </c>
    </row>
    <row r="112" spans="1:12" ht="15.75" x14ac:dyDescent="0.25">
      <c r="A112" s="37">
        <v>5030</v>
      </c>
      <c r="B112" s="34"/>
      <c r="C112" s="35" t="s">
        <v>8</v>
      </c>
      <c r="D112" s="36">
        <v>277.65751225955557</v>
      </c>
      <c r="E112" s="38">
        <f>D112*(1-'[1]Discounts page'!D$9)</f>
        <v>111.06300490382223</v>
      </c>
      <c r="F112" s="36">
        <v>249.89176103360003</v>
      </c>
      <c r="G112" s="38">
        <f>F112*(1-'[1]Discounts page'!D$9)</f>
        <v>99.956704413440022</v>
      </c>
      <c r="H112" s="36">
        <v>236.00888542062222</v>
      </c>
      <c r="I112" s="38">
        <f>H112*(1-'[1]Discounts page'!D$9)</f>
        <v>94.403554168248888</v>
      </c>
      <c r="J112" s="47">
        <f t="shared" si="4"/>
        <v>178</v>
      </c>
      <c r="K112" s="48">
        <f t="shared" si="3"/>
        <v>155</v>
      </c>
      <c r="L112" s="49">
        <f t="shared" si="5"/>
        <v>142</v>
      </c>
    </row>
    <row r="113" spans="1:12" ht="15.75" x14ac:dyDescent="0.25">
      <c r="A113" s="37">
        <v>5185</v>
      </c>
      <c r="B113" s="34"/>
      <c r="C113" s="35" t="s">
        <v>8</v>
      </c>
      <c r="D113" s="36">
        <v>285.80173043555561</v>
      </c>
      <c r="E113" s="38">
        <f>D113*(1-'[1]Discounts page'!D$9)</f>
        <v>114.32069217422224</v>
      </c>
      <c r="F113" s="36">
        <v>257.22155739200008</v>
      </c>
      <c r="G113" s="38">
        <f>F113*(1-'[1]Discounts page'!D$9)</f>
        <v>102.88862295680003</v>
      </c>
      <c r="H113" s="36">
        <v>242.93147087022226</v>
      </c>
      <c r="I113" s="38">
        <f>H113*(1-'[1]Discounts page'!D$9)</f>
        <v>97.172588348088908</v>
      </c>
      <c r="J113" s="47">
        <f t="shared" si="4"/>
        <v>183</v>
      </c>
      <c r="K113" s="48">
        <f t="shared" si="3"/>
        <v>160</v>
      </c>
      <c r="L113" s="49">
        <f t="shared" si="5"/>
        <v>146</v>
      </c>
    </row>
    <row r="114" spans="1:12" ht="15.75" x14ac:dyDescent="0.25">
      <c r="A114" s="37">
        <v>5335</v>
      </c>
      <c r="B114" s="34"/>
      <c r="C114" s="35" t="s">
        <v>8</v>
      </c>
      <c r="D114" s="36">
        <v>293.79512975644445</v>
      </c>
      <c r="E114" s="38">
        <f>D114*(1-'[1]Discounts page'!D$9)</f>
        <v>117.51805190257778</v>
      </c>
      <c r="F114" s="36">
        <v>264.41561678080001</v>
      </c>
      <c r="G114" s="38">
        <f>F114*(1-'[1]Discounts page'!D$9)</f>
        <v>105.76624671232001</v>
      </c>
      <c r="H114" s="36">
        <v>249.72586029297779</v>
      </c>
      <c r="I114" s="38">
        <f>H114*(1-'[1]Discounts page'!D$9)</f>
        <v>99.89034411719112</v>
      </c>
      <c r="J114" s="47">
        <f t="shared" si="4"/>
        <v>189</v>
      </c>
      <c r="K114" s="48">
        <f t="shared" si="3"/>
        <v>164</v>
      </c>
      <c r="L114" s="49">
        <f t="shared" si="5"/>
        <v>150</v>
      </c>
    </row>
    <row r="115" spans="1:12" ht="15.75" x14ac:dyDescent="0.25">
      <c r="A115" s="37">
        <v>5490</v>
      </c>
      <c r="B115" s="34"/>
      <c r="C115" s="35" t="s">
        <v>8</v>
      </c>
      <c r="D115" s="36">
        <v>301.48689136711118</v>
      </c>
      <c r="E115" s="38">
        <f>D115*(1-'[1]Discounts page'!D$9)</f>
        <v>120.59475654684448</v>
      </c>
      <c r="F115" s="36">
        <v>271.3382022304001</v>
      </c>
      <c r="G115" s="38">
        <f>F115*(1-'[1]Discounts page'!D$9)</f>
        <v>108.53528089216005</v>
      </c>
      <c r="H115" s="36">
        <v>256.26385766204447</v>
      </c>
      <c r="I115" s="38">
        <f>H115*(1-'[1]Discounts page'!D$9)</f>
        <v>102.5055430648178</v>
      </c>
      <c r="J115" s="47">
        <f t="shared" si="4"/>
        <v>193</v>
      </c>
      <c r="K115" s="48">
        <f t="shared" si="3"/>
        <v>169</v>
      </c>
      <c r="L115" s="49">
        <f t="shared" si="5"/>
        <v>154</v>
      </c>
    </row>
    <row r="116" spans="1:12" ht="15.75" x14ac:dyDescent="0.25">
      <c r="A116" s="37">
        <v>5640</v>
      </c>
      <c r="B116" s="34"/>
      <c r="C116" s="35" t="s">
        <v>8</v>
      </c>
      <c r="D116" s="36">
        <v>309.48029068799997</v>
      </c>
      <c r="E116" s="38">
        <f>D116*(1-'[1]Discounts page'!D$9)</f>
        <v>123.79211627519999</v>
      </c>
      <c r="F116" s="36">
        <v>278.53226161919997</v>
      </c>
      <c r="G116" s="38">
        <f>F116*(1-'[1]Discounts page'!D$9)</f>
        <v>111.41290464767999</v>
      </c>
      <c r="H116" s="36">
        <v>263.05824708479997</v>
      </c>
      <c r="I116" s="38">
        <f>H116*(1-'[1]Discounts page'!D$9)</f>
        <v>105.22329883392</v>
      </c>
      <c r="J116" s="47">
        <f t="shared" si="4"/>
        <v>199</v>
      </c>
      <c r="K116" s="48">
        <f t="shared" si="3"/>
        <v>173</v>
      </c>
      <c r="L116" s="49">
        <f t="shared" si="5"/>
        <v>158</v>
      </c>
    </row>
    <row r="117" spans="1:12" ht="15.75" x14ac:dyDescent="0.25">
      <c r="A117" s="37">
        <v>5795</v>
      </c>
      <c r="B117" s="34"/>
      <c r="C117" s="35" t="s">
        <v>8</v>
      </c>
      <c r="D117" s="36">
        <v>317.32287115377784</v>
      </c>
      <c r="E117" s="38">
        <f>D117*(1-'[1]Discounts page'!D$9)</f>
        <v>126.92914846151115</v>
      </c>
      <c r="F117" s="36">
        <v>285.59058403840004</v>
      </c>
      <c r="G117" s="38">
        <f>F117*(1-'[1]Discounts page'!D$9)</f>
        <v>114.23623361536002</v>
      </c>
      <c r="H117" s="36">
        <v>269.72444048071117</v>
      </c>
      <c r="I117" s="38">
        <f>H117*(1-'[1]Discounts page'!D$9)</f>
        <v>107.88977619228447</v>
      </c>
      <c r="J117" s="47">
        <f t="shared" si="4"/>
        <v>204</v>
      </c>
      <c r="K117" s="48">
        <f t="shared" si="3"/>
        <v>178</v>
      </c>
      <c r="L117" s="49">
        <f t="shared" si="5"/>
        <v>162</v>
      </c>
    </row>
    <row r="118" spans="1:12" ht="15.75" x14ac:dyDescent="0.25">
      <c r="A118" s="37">
        <v>5945</v>
      </c>
      <c r="B118" s="34"/>
      <c r="C118" s="35" t="s">
        <v>8</v>
      </c>
      <c r="D118" s="36">
        <v>325.31627047466668</v>
      </c>
      <c r="E118" s="38">
        <f>D118*(1-'[1]Discounts page'!D$9)</f>
        <v>130.12650818986668</v>
      </c>
      <c r="F118" s="36">
        <v>292.78464342720002</v>
      </c>
      <c r="G118" s="38">
        <f>F118*(1-'[1]Discounts page'!D$9)</f>
        <v>117.11385737088001</v>
      </c>
      <c r="H118" s="36">
        <v>276.51882990346667</v>
      </c>
      <c r="I118" s="38">
        <f>H118*(1-'[1]Discounts page'!D$9)</f>
        <v>110.60753196138667</v>
      </c>
      <c r="J118" s="47">
        <f t="shared" si="4"/>
        <v>209</v>
      </c>
      <c r="K118" s="48">
        <f t="shared" si="3"/>
        <v>182</v>
      </c>
      <c r="L118" s="49">
        <f t="shared" si="5"/>
        <v>166</v>
      </c>
    </row>
    <row r="119" spans="1:12" ht="15.75" x14ac:dyDescent="0.25">
      <c r="A119" s="37">
        <v>6100</v>
      </c>
      <c r="B119" s="34"/>
      <c r="C119" s="35" t="s">
        <v>8</v>
      </c>
      <c r="D119" s="36">
        <v>333.30966979555564</v>
      </c>
      <c r="E119" s="38">
        <f>D119*(1-'[1]Discounts page'!D$9)</f>
        <v>133.32386791822225</v>
      </c>
      <c r="F119" s="36">
        <v>299.97870281600007</v>
      </c>
      <c r="G119" s="38">
        <f>F119*(1-'[1]Discounts page'!D$9)</f>
        <v>119.99148112640003</v>
      </c>
      <c r="H119" s="36">
        <v>283.31321932622228</v>
      </c>
      <c r="I119" s="38">
        <f>H119*(1-'[1]Discounts page'!D$9)</f>
        <v>113.32528773048892</v>
      </c>
      <c r="J119" s="47">
        <f t="shared" si="4"/>
        <v>214</v>
      </c>
      <c r="K119" s="48">
        <f t="shared" si="3"/>
        <v>186</v>
      </c>
      <c r="L119" s="49">
        <f t="shared" si="5"/>
        <v>170</v>
      </c>
    </row>
    <row r="120" spans="1:12" ht="15.75" x14ac:dyDescent="0.25">
      <c r="A120" s="37">
        <v>6250</v>
      </c>
      <c r="B120" s="34"/>
      <c r="C120" s="35" t="s">
        <v>8</v>
      </c>
      <c r="D120" s="36">
        <v>341.15225026133339</v>
      </c>
      <c r="E120" s="38">
        <f>D120*(1-'[1]Discounts page'!D$9)</f>
        <v>136.46090010453335</v>
      </c>
      <c r="F120" s="36">
        <v>307.03702523520008</v>
      </c>
      <c r="G120" s="38">
        <f>F120*(1-'[1]Discounts page'!D$9)</f>
        <v>122.81481009408003</v>
      </c>
      <c r="H120" s="36">
        <v>289.97941272213336</v>
      </c>
      <c r="I120" s="38">
        <f>H120*(1-'[1]Discounts page'!D$9)</f>
        <v>115.99176508885336</v>
      </c>
      <c r="J120" s="47">
        <f t="shared" si="4"/>
        <v>219</v>
      </c>
      <c r="K120" s="48">
        <f t="shared" si="3"/>
        <v>191</v>
      </c>
      <c r="L120" s="49">
        <f t="shared" si="5"/>
        <v>174</v>
      </c>
    </row>
    <row r="121" spans="1:12" ht="15.75" x14ac:dyDescent="0.25">
      <c r="A121" s="37">
        <v>6400</v>
      </c>
      <c r="B121" s="34"/>
      <c r="C121" s="35" t="s">
        <v>8</v>
      </c>
      <c r="D121" s="36">
        <v>349.14564958222229</v>
      </c>
      <c r="E121" s="38">
        <f>D121*(1-'[1]Discounts page'!D$9)</f>
        <v>139.65825983288892</v>
      </c>
      <c r="F121" s="36">
        <v>314.23108462400006</v>
      </c>
      <c r="G121" s="38">
        <f>F121*(1-'[1]Discounts page'!D$9)</f>
        <v>125.69243384960004</v>
      </c>
      <c r="H121" s="36">
        <v>296.77380214488892</v>
      </c>
      <c r="I121" s="38">
        <f>H121*(1-'[1]Discounts page'!D$9)</f>
        <v>118.70952085795557</v>
      </c>
      <c r="J121" s="47">
        <f t="shared" si="4"/>
        <v>224</v>
      </c>
      <c r="K121" s="48">
        <f t="shared" si="3"/>
        <v>195</v>
      </c>
      <c r="L121" s="49">
        <f t="shared" si="5"/>
        <v>179</v>
      </c>
    </row>
    <row r="122" spans="1:12" ht="15.75" x14ac:dyDescent="0.25">
      <c r="A122" s="37" t="s">
        <v>14</v>
      </c>
      <c r="B122" s="34"/>
      <c r="C122" s="35" t="s">
        <v>8</v>
      </c>
      <c r="D122" s="36">
        <v>356.83741119288891</v>
      </c>
      <c r="E122" s="38">
        <f>D122*(1-'[1]Discounts page'!D$9)</f>
        <v>142.73496447715556</v>
      </c>
      <c r="F122" s="36">
        <v>321.15367007360004</v>
      </c>
      <c r="G122" s="38">
        <f>F122*(1-'[1]Discounts page'!D$9)</f>
        <v>128.46146802944003</v>
      </c>
      <c r="H122" s="36">
        <v>303.31179951395558</v>
      </c>
      <c r="I122" s="38">
        <f>H122*(1-'[1]Discounts page'!D$9)</f>
        <v>121.32471980558223</v>
      </c>
      <c r="J122" s="47">
        <f t="shared" si="4"/>
        <v>229</v>
      </c>
      <c r="K122" s="48">
        <f t="shared" si="3"/>
        <v>200</v>
      </c>
      <c r="L122" s="49">
        <f t="shared" si="5"/>
        <v>182</v>
      </c>
    </row>
    <row r="123" spans="1:12" ht="15.75" x14ac:dyDescent="0.25">
      <c r="A123" s="37" t="s">
        <v>15</v>
      </c>
      <c r="B123" s="34"/>
      <c r="C123" s="35" t="s">
        <v>8</v>
      </c>
      <c r="D123" s="36">
        <v>364.83081051377786</v>
      </c>
      <c r="E123" s="38">
        <f>D123*(1-'[1]Discounts page'!D$9)</f>
        <v>145.93232420551115</v>
      </c>
      <c r="F123" s="36">
        <v>328.34772946240008</v>
      </c>
      <c r="G123" s="38">
        <f>F123*(1-'[1]Discounts page'!D$9)</f>
        <v>131.33909178496003</v>
      </c>
      <c r="H123" s="36">
        <v>310.10618893671119</v>
      </c>
      <c r="I123" s="38">
        <f>H123*(1-'[1]Discounts page'!D$9)</f>
        <v>124.04247557468449</v>
      </c>
      <c r="J123" s="47">
        <f t="shared" si="4"/>
        <v>234</v>
      </c>
      <c r="K123" s="48">
        <f t="shared" si="3"/>
        <v>204</v>
      </c>
      <c r="L123" s="49">
        <f t="shared" si="5"/>
        <v>187</v>
      </c>
    </row>
    <row r="124" spans="1:12" ht="15.75" x14ac:dyDescent="0.25">
      <c r="A124" s="37" t="s">
        <v>16</v>
      </c>
      <c r="B124" s="34"/>
      <c r="C124" s="35" t="s">
        <v>8</v>
      </c>
      <c r="D124" s="36">
        <v>372.67339097955556</v>
      </c>
      <c r="E124" s="38">
        <f>D124*(1-'[1]Discounts page'!D$9)</f>
        <v>149.06935639182223</v>
      </c>
      <c r="F124" s="36">
        <v>335.40605188160004</v>
      </c>
      <c r="G124" s="38">
        <f>F124*(1-'[1]Discounts page'!D$9)</f>
        <v>134.16242075264003</v>
      </c>
      <c r="H124" s="36">
        <v>316.77238233262221</v>
      </c>
      <c r="I124" s="38">
        <f>H124*(1-'[1]Discounts page'!D$9)</f>
        <v>126.70895293304889</v>
      </c>
      <c r="J124" s="47">
        <f t="shared" si="4"/>
        <v>239</v>
      </c>
      <c r="K124" s="48">
        <f t="shared" si="3"/>
        <v>208</v>
      </c>
      <c r="L124" s="49">
        <f t="shared" si="5"/>
        <v>191</v>
      </c>
    </row>
    <row r="125" spans="1:12" ht="15.75" x14ac:dyDescent="0.25">
      <c r="A125" s="37" t="s">
        <v>17</v>
      </c>
      <c r="B125" s="34"/>
      <c r="C125" s="35" t="s">
        <v>8</v>
      </c>
      <c r="D125" s="36">
        <v>384.15252721066662</v>
      </c>
      <c r="E125" s="38">
        <f>D125*(1-'[1]Discounts page'!D$9)</f>
        <v>153.66101088426666</v>
      </c>
      <c r="F125" s="36">
        <v>345.73727448959994</v>
      </c>
      <c r="G125" s="38">
        <f>F125*(1-'[1]Discounts page'!D$9)</f>
        <v>138.29490979583997</v>
      </c>
      <c r="H125" s="36">
        <v>326.52964812906663</v>
      </c>
      <c r="I125" s="38">
        <f>H125*(1-'[1]Discounts page'!D$9)</f>
        <v>130.61185925162667</v>
      </c>
      <c r="J125" s="47">
        <f t="shared" si="4"/>
        <v>246</v>
      </c>
      <c r="K125" s="48">
        <f t="shared" si="3"/>
        <v>215</v>
      </c>
      <c r="L125" s="49">
        <f t="shared" si="5"/>
        <v>196</v>
      </c>
    </row>
    <row r="126" spans="1:12" ht="15.75" x14ac:dyDescent="0.25">
      <c r="A126" s="37" t="s">
        <v>18</v>
      </c>
      <c r="B126" s="34"/>
      <c r="C126" s="35" t="s">
        <v>8</v>
      </c>
      <c r="D126" s="36">
        <v>392.67909935644457</v>
      </c>
      <c r="E126" s="38">
        <f>D126*(1-'[1]Discounts page'!D$9)</f>
        <v>157.07163974257784</v>
      </c>
      <c r="F126" s="36">
        <v>353.4111894208001</v>
      </c>
      <c r="G126" s="38">
        <f>F126*(1-'[1]Discounts page'!D$9)</f>
        <v>141.36447576832003</v>
      </c>
      <c r="H126" s="36">
        <v>333.77723445297789</v>
      </c>
      <c r="I126" s="38">
        <f>H126*(1-'[1]Discounts page'!D$9)</f>
        <v>133.51089378119116</v>
      </c>
      <c r="J126" s="47">
        <f t="shared" si="4"/>
        <v>252</v>
      </c>
      <c r="K126" s="48">
        <f t="shared" si="3"/>
        <v>220</v>
      </c>
      <c r="L126" s="49">
        <f t="shared" si="5"/>
        <v>201</v>
      </c>
    </row>
    <row r="127" spans="1:12" ht="15.75" x14ac:dyDescent="0.25">
      <c r="A127" s="37" t="s">
        <v>19</v>
      </c>
      <c r="B127" s="34"/>
      <c r="C127" s="35" t="s">
        <v>8</v>
      </c>
      <c r="D127" s="36">
        <v>400.44437041777775</v>
      </c>
      <c r="E127" s="38">
        <f>D127*(1-'[1]Discounts page'!D$9)</f>
        <v>160.1777481671111</v>
      </c>
      <c r="F127" s="36">
        <v>360.39993337599998</v>
      </c>
      <c r="G127" s="38">
        <f>F127*(1-'[1]Discounts page'!D$9)</f>
        <v>144.15997335040001</v>
      </c>
      <c r="H127" s="36">
        <v>340.37771485511109</v>
      </c>
      <c r="I127" s="38">
        <f>H127*(1-'[1]Discounts page'!D$9)</f>
        <v>136.15108594204443</v>
      </c>
      <c r="J127" s="47">
        <f t="shared" si="4"/>
        <v>257</v>
      </c>
      <c r="K127" s="48">
        <f t="shared" si="3"/>
        <v>224</v>
      </c>
      <c r="L127" s="49">
        <f t="shared" si="5"/>
        <v>205</v>
      </c>
    </row>
    <row r="128" spans="1:12" ht="15.75" x14ac:dyDescent="0.25">
      <c r="A128" s="37" t="s">
        <v>20</v>
      </c>
      <c r="B128" s="34"/>
      <c r="C128" s="35" t="s">
        <v>8</v>
      </c>
      <c r="D128" s="36">
        <v>408.20964147911116</v>
      </c>
      <c r="E128" s="38">
        <f>D128*(1-'[1]Discounts page'!D$9)</f>
        <v>163.28385659164448</v>
      </c>
      <c r="F128" s="36">
        <v>367.38867733120003</v>
      </c>
      <c r="G128" s="38">
        <f>F128*(1-'[1]Discounts page'!D$9)</f>
        <v>146.95547093248001</v>
      </c>
      <c r="H128" s="36">
        <v>346.97819525724447</v>
      </c>
      <c r="I128" s="38">
        <f>H128*(1-'[1]Discounts page'!D$9)</f>
        <v>138.79127810289779</v>
      </c>
      <c r="J128" s="47">
        <f t="shared" si="4"/>
        <v>262</v>
      </c>
      <c r="K128" s="48">
        <f t="shared" si="3"/>
        <v>228</v>
      </c>
      <c r="L128" s="49">
        <f t="shared" si="5"/>
        <v>209</v>
      </c>
    </row>
    <row r="129" spans="1:12" ht="15.75" x14ac:dyDescent="0.25">
      <c r="A129" s="37" t="s">
        <v>21</v>
      </c>
      <c r="B129" s="34"/>
      <c r="C129" s="35" t="s">
        <v>8</v>
      </c>
      <c r="D129" s="36">
        <v>416.27943297422235</v>
      </c>
      <c r="E129" s="38">
        <f>D129*(1-'[1]Discounts page'!D$9)</f>
        <v>166.51177318968894</v>
      </c>
      <c r="F129" s="36">
        <v>374.65148967680011</v>
      </c>
      <c r="G129" s="38">
        <f>F129*(1-'[1]Discounts page'!D$9)</f>
        <v>149.86059587072006</v>
      </c>
      <c r="H129" s="36">
        <v>353.83751802808899</v>
      </c>
      <c r="I129" s="38">
        <f>H129*(1-'[1]Discounts page'!D$9)</f>
        <v>141.53500721123561</v>
      </c>
      <c r="J129" s="47">
        <f t="shared" si="4"/>
        <v>267</v>
      </c>
      <c r="K129" s="48">
        <f t="shared" si="3"/>
        <v>233</v>
      </c>
      <c r="L129" s="49">
        <f t="shared" si="5"/>
        <v>213</v>
      </c>
    </row>
    <row r="130" spans="1:12" ht="15.75" x14ac:dyDescent="0.25">
      <c r="A130" s="37" t="s">
        <v>22</v>
      </c>
      <c r="B130" s="34"/>
      <c r="C130" s="35" t="s">
        <v>8</v>
      </c>
      <c r="D130" s="36">
        <v>424.04470403555558</v>
      </c>
      <c r="E130" s="38">
        <f>D130*(1-'[1]Discounts page'!D$9)</f>
        <v>169.61788161422226</v>
      </c>
      <c r="F130" s="36">
        <v>381.64023363200005</v>
      </c>
      <c r="G130" s="38">
        <f>F130*(1-'[1]Discounts page'!D$9)</f>
        <v>152.65609345280004</v>
      </c>
      <c r="H130" s="36">
        <v>360.43799843022225</v>
      </c>
      <c r="I130" s="38">
        <f>H130*(1-'[1]Discounts page'!D$9)</f>
        <v>144.17519937208891</v>
      </c>
      <c r="J130" s="47">
        <f t="shared" si="4"/>
        <v>272</v>
      </c>
      <c r="K130" s="48">
        <f t="shared" si="3"/>
        <v>237</v>
      </c>
      <c r="L130" s="49">
        <f t="shared" si="5"/>
        <v>217</v>
      </c>
    </row>
    <row r="131" spans="1:12" ht="15.75" x14ac:dyDescent="0.25">
      <c r="A131" s="37" t="s">
        <v>23</v>
      </c>
      <c r="B131" s="34"/>
      <c r="C131" s="35" t="s">
        <v>8</v>
      </c>
      <c r="D131" s="36">
        <v>432.11449553066666</v>
      </c>
      <c r="E131" s="38">
        <f>D131*(1-'[1]Discounts page'!D$9)</f>
        <v>172.84579821226669</v>
      </c>
      <c r="F131" s="36">
        <v>388.90304597760002</v>
      </c>
      <c r="G131" s="38">
        <f>F131*(1-'[1]Discounts page'!D$9)</f>
        <v>155.56121839104003</v>
      </c>
      <c r="H131" s="36">
        <v>367.29732120106667</v>
      </c>
      <c r="I131" s="38">
        <f>H131*(1-'[1]Discounts page'!D$9)</f>
        <v>146.91892848042667</v>
      </c>
      <c r="J131" s="47">
        <f t="shared" si="4"/>
        <v>277</v>
      </c>
      <c r="K131" s="48">
        <f t="shared" si="3"/>
        <v>242</v>
      </c>
      <c r="L131" s="49">
        <f t="shared" si="5"/>
        <v>221</v>
      </c>
    </row>
    <row r="132" spans="1:12" ht="15.75" x14ac:dyDescent="0.25">
      <c r="A132" s="37" t="s">
        <v>24</v>
      </c>
      <c r="B132" s="34"/>
      <c r="C132" s="35" t="s">
        <v>8</v>
      </c>
      <c r="D132" s="36">
        <v>440.48880745955557</v>
      </c>
      <c r="E132" s="38">
        <f>D132*(1-'[1]Discounts page'!D$9)</f>
        <v>176.19552298382223</v>
      </c>
      <c r="F132" s="36">
        <v>396.43992671360002</v>
      </c>
      <c r="G132" s="38">
        <f>F132*(1-'[1]Discounts page'!D$9)</f>
        <v>158.57597068544001</v>
      </c>
      <c r="H132" s="36">
        <v>374.41548634062224</v>
      </c>
      <c r="I132" s="38">
        <f>H132*(1-'[1]Discounts page'!D$9)</f>
        <v>149.76619453624889</v>
      </c>
      <c r="J132" s="47">
        <f t="shared" si="4"/>
        <v>282</v>
      </c>
      <c r="K132" s="48">
        <f t="shared" si="3"/>
        <v>246</v>
      </c>
      <c r="L132" s="49">
        <f t="shared" si="5"/>
        <v>225</v>
      </c>
    </row>
    <row r="133" spans="1:12" ht="15.75" x14ac:dyDescent="0.25">
      <c r="A133" s="33" t="s">
        <v>26</v>
      </c>
      <c r="B133" s="34"/>
      <c r="C133" s="35"/>
      <c r="D133" s="36"/>
      <c r="E133" s="38"/>
      <c r="F133" s="36"/>
      <c r="G133" s="38"/>
      <c r="H133" s="36"/>
      <c r="I133" s="38"/>
      <c r="J133" s="47">
        <f t="shared" si="4"/>
        <v>0</v>
      </c>
      <c r="K133" s="48">
        <f t="shared" si="3"/>
        <v>0</v>
      </c>
      <c r="L133" s="49">
        <f t="shared" si="5"/>
        <v>0</v>
      </c>
    </row>
    <row r="134" spans="1:12" ht="15.75" x14ac:dyDescent="0.25">
      <c r="A134" s="37">
        <v>3355</v>
      </c>
      <c r="B134" s="34"/>
      <c r="C134" s="35" t="s">
        <v>8</v>
      </c>
      <c r="D134" s="36">
        <v>248.06098261333329</v>
      </c>
      <c r="E134" s="38">
        <f>D134*(1-'[1]Discounts page'!D$9)</f>
        <v>99.224393045333329</v>
      </c>
      <c r="F134" s="36">
        <v>223.25488435199998</v>
      </c>
      <c r="G134" s="38">
        <f>F134*(1-'[1]Discounts page'!D$9)</f>
        <v>89.301953740800002</v>
      </c>
      <c r="H134" s="36">
        <v>210.85183522133329</v>
      </c>
      <c r="I134" s="38">
        <f>H134*(1-'[1]Discounts page'!D$9)</f>
        <v>84.340734088533324</v>
      </c>
      <c r="J134" s="47">
        <f t="shared" si="4"/>
        <v>159</v>
      </c>
      <c r="K134" s="48">
        <f t="shared" si="3"/>
        <v>139</v>
      </c>
      <c r="L134" s="49">
        <f t="shared" si="5"/>
        <v>127</v>
      </c>
    </row>
    <row r="135" spans="1:12" ht="15.75" x14ac:dyDescent="0.25">
      <c r="A135" s="37">
        <v>3510</v>
      </c>
      <c r="B135" s="34"/>
      <c r="C135" s="35" t="s">
        <v>8</v>
      </c>
      <c r="D135" s="36">
        <v>257.48486798222223</v>
      </c>
      <c r="E135" s="38">
        <f>D135*(1-'[1]Discounts page'!D$9)</f>
        <v>102.9939471928889</v>
      </c>
      <c r="F135" s="36">
        <v>231.73638118400001</v>
      </c>
      <c r="G135" s="38">
        <f>F135*(1-'[1]Discounts page'!D$9)</f>
        <v>92.694552473600012</v>
      </c>
      <c r="H135" s="36">
        <v>218.86213778488889</v>
      </c>
      <c r="I135" s="38">
        <f>H135*(1-'[1]Discounts page'!D$9)</f>
        <v>87.544855113955563</v>
      </c>
      <c r="J135" s="47">
        <f t="shared" si="4"/>
        <v>165</v>
      </c>
      <c r="K135" s="48">
        <f t="shared" si="3"/>
        <v>144</v>
      </c>
      <c r="L135" s="49">
        <f t="shared" si="5"/>
        <v>132</v>
      </c>
    </row>
    <row r="136" spans="1:12" ht="15.75" x14ac:dyDescent="0.25">
      <c r="A136" s="37">
        <v>3660</v>
      </c>
      <c r="B136" s="34"/>
      <c r="C136" s="35" t="s">
        <v>8</v>
      </c>
      <c r="D136" s="36">
        <v>267.66874410666668</v>
      </c>
      <c r="E136" s="38">
        <f>D136*(1-'[1]Discounts page'!D$9)</f>
        <v>107.06749764266668</v>
      </c>
      <c r="F136" s="36">
        <v>240.90186969600001</v>
      </c>
      <c r="G136" s="38">
        <f>F136*(1-'[1]Discounts page'!D$9)</f>
        <v>96.360747878400005</v>
      </c>
      <c r="H136" s="36">
        <v>227.51843249066667</v>
      </c>
      <c r="I136" s="38">
        <f>H136*(1-'[1]Discounts page'!D$9)</f>
        <v>91.007372996266668</v>
      </c>
      <c r="J136" s="47">
        <f t="shared" si="4"/>
        <v>172</v>
      </c>
      <c r="K136" s="48">
        <f t="shared" si="3"/>
        <v>150</v>
      </c>
      <c r="L136" s="49">
        <f t="shared" si="5"/>
        <v>137</v>
      </c>
    </row>
    <row r="137" spans="1:12" ht="15.75" x14ac:dyDescent="0.25">
      <c r="A137" s="37">
        <v>3810</v>
      </c>
      <c r="B137" s="34"/>
      <c r="C137" s="35" t="s">
        <v>8</v>
      </c>
      <c r="D137" s="36">
        <v>277.5486239288889</v>
      </c>
      <c r="E137" s="38">
        <f>D137*(1-'[1]Discounts page'!D$9)</f>
        <v>111.01944957155557</v>
      </c>
      <c r="F137" s="36">
        <v>249.79376153600001</v>
      </c>
      <c r="G137" s="38">
        <f>F137*(1-'[1]Discounts page'!D$9)</f>
        <v>99.917504614400002</v>
      </c>
      <c r="H137" s="36">
        <v>235.91633033955557</v>
      </c>
      <c r="I137" s="38">
        <f>H137*(1-'[1]Discounts page'!D$9)</f>
        <v>94.36653213582224</v>
      </c>
      <c r="J137" s="47">
        <f t="shared" si="4"/>
        <v>178</v>
      </c>
      <c r="K137" s="48">
        <f t="shared" ref="K137:K200" si="6">ROUNDUP(G137*1.55,0)</f>
        <v>155</v>
      </c>
      <c r="L137" s="49">
        <f t="shared" si="5"/>
        <v>142</v>
      </c>
    </row>
    <row r="138" spans="1:12" ht="15.75" x14ac:dyDescent="0.25">
      <c r="A138" s="37">
        <v>3965</v>
      </c>
      <c r="B138" s="34"/>
      <c r="C138" s="35" t="s">
        <v>8</v>
      </c>
      <c r="D138" s="36">
        <v>287.88449820444447</v>
      </c>
      <c r="E138" s="38">
        <f>D138*(1-'[1]Discounts page'!D$9)</f>
        <v>115.15379928177779</v>
      </c>
      <c r="F138" s="36">
        <v>259.09604838400003</v>
      </c>
      <c r="G138" s="38">
        <f>F138*(1-'[1]Discounts page'!D$9)</f>
        <v>103.63841935360001</v>
      </c>
      <c r="H138" s="36">
        <v>244.70182347377778</v>
      </c>
      <c r="I138" s="38">
        <f>H138*(1-'[1]Discounts page'!D$9)</f>
        <v>97.880729389511117</v>
      </c>
      <c r="J138" s="47">
        <f t="shared" ref="J138:J201" si="7">ROUNDUP(E138*1.6,0)</f>
        <v>185</v>
      </c>
      <c r="K138" s="48">
        <f t="shared" si="6"/>
        <v>161</v>
      </c>
      <c r="L138" s="49">
        <f t="shared" ref="L138:L201" si="8">ROUNDUP(I138*1.5,0)</f>
        <v>147</v>
      </c>
    </row>
    <row r="139" spans="1:12" ht="15.75" x14ac:dyDescent="0.25">
      <c r="A139" s="37">
        <v>4115</v>
      </c>
      <c r="B139" s="34"/>
      <c r="C139" s="35" t="s">
        <v>8</v>
      </c>
      <c r="D139" s="36">
        <v>295.24186388266668</v>
      </c>
      <c r="E139" s="38">
        <f>D139*(1-'[1]Discounts page'!D$9)</f>
        <v>118.09674555306668</v>
      </c>
      <c r="F139" s="36">
        <v>265.71767749439999</v>
      </c>
      <c r="G139" s="38">
        <f>F139*(1-'[1]Discounts page'!D$9)</f>
        <v>106.28707099776</v>
      </c>
      <c r="H139" s="36">
        <v>250.95558430026668</v>
      </c>
      <c r="I139" s="38">
        <f>H139*(1-'[1]Discounts page'!D$9)</f>
        <v>100.38223372010668</v>
      </c>
      <c r="J139" s="47">
        <f t="shared" si="7"/>
        <v>189</v>
      </c>
      <c r="K139" s="48">
        <f t="shared" si="6"/>
        <v>165</v>
      </c>
      <c r="L139" s="49">
        <f t="shared" si="8"/>
        <v>151</v>
      </c>
    </row>
    <row r="140" spans="1:12" ht="15.75" x14ac:dyDescent="0.25">
      <c r="A140" s="37">
        <v>4270</v>
      </c>
      <c r="B140" s="34"/>
      <c r="C140" s="35" t="s">
        <v>8</v>
      </c>
      <c r="D140" s="36">
        <v>304.87749840000004</v>
      </c>
      <c r="E140" s="38">
        <f>D140*(1-'[1]Discounts page'!D$9)</f>
        <v>121.95099936000003</v>
      </c>
      <c r="F140" s="36">
        <v>274.38974856000004</v>
      </c>
      <c r="G140" s="38">
        <f>F140*(1-'[1]Discounts page'!D$9)</f>
        <v>109.75589942400002</v>
      </c>
      <c r="H140" s="36">
        <v>259.14587364000005</v>
      </c>
      <c r="I140" s="38">
        <f>H140*(1-'[1]Discounts page'!D$9)</f>
        <v>103.65834945600002</v>
      </c>
      <c r="J140" s="47">
        <f t="shared" si="7"/>
        <v>196</v>
      </c>
      <c r="K140" s="48">
        <f t="shared" si="6"/>
        <v>171</v>
      </c>
      <c r="L140" s="49">
        <f t="shared" si="8"/>
        <v>156</v>
      </c>
    </row>
    <row r="141" spans="1:12" ht="15.75" x14ac:dyDescent="0.25">
      <c r="A141" s="37">
        <v>4420</v>
      </c>
      <c r="B141" s="34"/>
      <c r="C141" s="35" t="s">
        <v>8</v>
      </c>
      <c r="D141" s="36">
        <v>315.11536007466668</v>
      </c>
      <c r="E141" s="38">
        <f>D141*(1-'[1]Discounts page'!D$9)</f>
        <v>126.04614402986668</v>
      </c>
      <c r="F141" s="36">
        <v>283.60382406720004</v>
      </c>
      <c r="G141" s="38">
        <f>F141*(1-'[1]Discounts page'!D$9)</f>
        <v>113.44152962688003</v>
      </c>
      <c r="H141" s="36">
        <v>267.84805606346669</v>
      </c>
      <c r="I141" s="38">
        <f>H141*(1-'[1]Discounts page'!D$9)</f>
        <v>107.13922242538668</v>
      </c>
      <c r="J141" s="47">
        <f t="shared" si="7"/>
        <v>202</v>
      </c>
      <c r="K141" s="48">
        <f t="shared" si="6"/>
        <v>176</v>
      </c>
      <c r="L141" s="49">
        <f t="shared" si="8"/>
        <v>161</v>
      </c>
    </row>
    <row r="142" spans="1:12" ht="15.75" x14ac:dyDescent="0.25">
      <c r="A142" s="37">
        <v>4575</v>
      </c>
      <c r="B142" s="34"/>
      <c r="C142" s="35" t="s">
        <v>8</v>
      </c>
      <c r="D142" s="36">
        <v>321.64197723733332</v>
      </c>
      <c r="E142" s="38">
        <f>D142*(1-'[1]Discounts page'!D$9)</f>
        <v>128.65679089493332</v>
      </c>
      <c r="F142" s="36">
        <v>289.47777951360001</v>
      </c>
      <c r="G142" s="38">
        <f>F142*(1-'[1]Discounts page'!D$9)</f>
        <v>115.79111180544001</v>
      </c>
      <c r="H142" s="36">
        <v>273.3956806517333</v>
      </c>
      <c r="I142" s="38">
        <f>H142*(1-'[1]Discounts page'!D$9)</f>
        <v>109.35827226069333</v>
      </c>
      <c r="J142" s="47">
        <f t="shared" si="7"/>
        <v>206</v>
      </c>
      <c r="K142" s="48">
        <f t="shared" si="6"/>
        <v>180</v>
      </c>
      <c r="L142" s="49">
        <f t="shared" si="8"/>
        <v>165</v>
      </c>
    </row>
    <row r="143" spans="1:12" ht="15.75" x14ac:dyDescent="0.25">
      <c r="A143" s="37">
        <v>4725</v>
      </c>
      <c r="B143" s="34"/>
      <c r="C143" s="35" t="s">
        <v>8</v>
      </c>
      <c r="D143" s="36">
        <v>331.78182631111116</v>
      </c>
      <c r="E143" s="38">
        <f>D143*(1-'[1]Discounts page'!D$9)</f>
        <v>132.71273052444448</v>
      </c>
      <c r="F143" s="36">
        <v>298.60364368000006</v>
      </c>
      <c r="G143" s="38">
        <f>F143*(1-'[1]Discounts page'!D$9)</f>
        <v>119.44145747200002</v>
      </c>
      <c r="H143" s="36">
        <v>282.01455236444446</v>
      </c>
      <c r="I143" s="38">
        <f>H143*(1-'[1]Discounts page'!D$9)</f>
        <v>112.80582094577778</v>
      </c>
      <c r="J143" s="47">
        <f t="shared" si="7"/>
        <v>213</v>
      </c>
      <c r="K143" s="48">
        <f t="shared" si="6"/>
        <v>186</v>
      </c>
      <c r="L143" s="49">
        <f t="shared" si="8"/>
        <v>170</v>
      </c>
    </row>
    <row r="144" spans="1:12" ht="15.75" x14ac:dyDescent="0.25">
      <c r="A144" s="37">
        <v>4880</v>
      </c>
      <c r="B144" s="34"/>
      <c r="C144" s="35" t="s">
        <v>8</v>
      </c>
      <c r="D144" s="36">
        <v>341.32521367466671</v>
      </c>
      <c r="E144" s="38">
        <f>D144*(1-'[1]Discounts page'!D$9)</f>
        <v>136.53008546986669</v>
      </c>
      <c r="F144" s="36">
        <v>307.19269230720005</v>
      </c>
      <c r="G144" s="38">
        <f>F144*(1-'[1]Discounts page'!D$9)</f>
        <v>122.87707692288002</v>
      </c>
      <c r="H144" s="36">
        <v>290.12643162346671</v>
      </c>
      <c r="I144" s="38">
        <f>H144*(1-'[1]Discounts page'!D$9)</f>
        <v>116.05057264938669</v>
      </c>
      <c r="J144" s="47">
        <f t="shared" si="7"/>
        <v>219</v>
      </c>
      <c r="K144" s="48">
        <f t="shared" si="6"/>
        <v>191</v>
      </c>
      <c r="L144" s="49">
        <f t="shared" si="8"/>
        <v>175</v>
      </c>
    </row>
    <row r="145" spans="1:12" ht="15.75" x14ac:dyDescent="0.25">
      <c r="A145" s="37">
        <v>5030</v>
      </c>
      <c r="B145" s="34"/>
      <c r="C145" s="35" t="s">
        <v>8</v>
      </c>
      <c r="D145" s="36">
        <v>349.46366640355569</v>
      </c>
      <c r="E145" s="38">
        <f>D145*(1-'[1]Discounts page'!D$9)</f>
        <v>139.78546656142228</v>
      </c>
      <c r="F145" s="36">
        <v>314.51729976320013</v>
      </c>
      <c r="G145" s="38">
        <f>F145*(1-'[1]Discounts page'!D$9)</f>
        <v>125.80691990528005</v>
      </c>
      <c r="H145" s="36">
        <v>297.04411644302235</v>
      </c>
      <c r="I145" s="38">
        <f>H145*(1-'[1]Discounts page'!D$9)</f>
        <v>118.81764657720895</v>
      </c>
      <c r="J145" s="47">
        <f t="shared" si="7"/>
        <v>224</v>
      </c>
      <c r="K145" s="48">
        <f t="shared" si="6"/>
        <v>196</v>
      </c>
      <c r="L145" s="49">
        <f t="shared" si="8"/>
        <v>179</v>
      </c>
    </row>
    <row r="146" spans="1:12" ht="15.75" x14ac:dyDescent="0.25">
      <c r="A146" s="37">
        <v>5185</v>
      </c>
      <c r="B146" s="34"/>
      <c r="C146" s="35" t="s">
        <v>8</v>
      </c>
      <c r="D146" s="36">
        <v>359.10506636800005</v>
      </c>
      <c r="E146" s="38">
        <f>D146*(1-'[1]Discounts page'!D$9)</f>
        <v>143.64202654720003</v>
      </c>
      <c r="F146" s="36">
        <v>323.19455973120006</v>
      </c>
      <c r="G146" s="38">
        <f>F146*(1-'[1]Discounts page'!D$9)</f>
        <v>129.27782389248003</v>
      </c>
      <c r="H146" s="36">
        <v>305.23930641280003</v>
      </c>
      <c r="I146" s="38">
        <f>H146*(1-'[1]Discounts page'!D$9)</f>
        <v>122.09572256512001</v>
      </c>
      <c r="J146" s="47">
        <f t="shared" si="7"/>
        <v>230</v>
      </c>
      <c r="K146" s="48">
        <f t="shared" si="6"/>
        <v>201</v>
      </c>
      <c r="L146" s="49">
        <f t="shared" si="8"/>
        <v>184</v>
      </c>
    </row>
    <row r="147" spans="1:12" ht="15.75" x14ac:dyDescent="0.25">
      <c r="A147" s="37">
        <v>5335</v>
      </c>
      <c r="B147" s="34"/>
      <c r="C147" s="35" t="s">
        <v>8</v>
      </c>
      <c r="D147" s="36">
        <v>369.33978325333339</v>
      </c>
      <c r="E147" s="38">
        <f>D147*(1-'[1]Discounts page'!D$9)</f>
        <v>147.73591330133337</v>
      </c>
      <c r="F147" s="36">
        <v>332.40580492800007</v>
      </c>
      <c r="G147" s="38">
        <f>F147*(1-'[1]Discounts page'!D$9)</f>
        <v>132.96232197120003</v>
      </c>
      <c r="H147" s="36">
        <v>313.9388157653334</v>
      </c>
      <c r="I147" s="38">
        <f>H147*(1-'[1]Discounts page'!D$9)</f>
        <v>125.57552630613337</v>
      </c>
      <c r="J147" s="47">
        <f t="shared" si="7"/>
        <v>237</v>
      </c>
      <c r="K147" s="48">
        <f t="shared" si="6"/>
        <v>207</v>
      </c>
      <c r="L147" s="49">
        <f t="shared" si="8"/>
        <v>189</v>
      </c>
    </row>
    <row r="148" spans="1:12" ht="15.75" x14ac:dyDescent="0.25">
      <c r="A148" s="37">
        <v>5490</v>
      </c>
      <c r="B148" s="34"/>
      <c r="C148" s="35" t="s">
        <v>8</v>
      </c>
      <c r="D148" s="36">
        <v>378.98118321777781</v>
      </c>
      <c r="E148" s="38">
        <f>D148*(1-'[1]Discounts page'!D$9)</f>
        <v>151.59247328711112</v>
      </c>
      <c r="F148" s="36">
        <v>341.08306489600005</v>
      </c>
      <c r="G148" s="38">
        <f>F148*(1-'[1]Discounts page'!D$9)</f>
        <v>136.43322595840002</v>
      </c>
      <c r="H148" s="36">
        <v>322.13400573511115</v>
      </c>
      <c r="I148" s="38">
        <f>H148*(1-'[1]Discounts page'!D$9)</f>
        <v>128.85360229404446</v>
      </c>
      <c r="J148" s="47">
        <f t="shared" si="7"/>
        <v>243</v>
      </c>
      <c r="K148" s="48">
        <f t="shared" si="6"/>
        <v>212</v>
      </c>
      <c r="L148" s="49">
        <f t="shared" si="8"/>
        <v>194</v>
      </c>
    </row>
    <row r="149" spans="1:12" ht="15.75" x14ac:dyDescent="0.25">
      <c r="A149" s="37">
        <v>5640</v>
      </c>
      <c r="B149" s="34"/>
      <c r="C149" s="35" t="s">
        <v>8</v>
      </c>
      <c r="D149" s="36">
        <v>389.06757087288889</v>
      </c>
      <c r="E149" s="38">
        <f>D149*(1-'[1]Discounts page'!D$9)</f>
        <v>155.62702834915558</v>
      </c>
      <c r="F149" s="36">
        <v>350.1608137856</v>
      </c>
      <c r="G149" s="38">
        <f>F149*(1-'[1]Discounts page'!D$9)</f>
        <v>140.06432551424001</v>
      </c>
      <c r="H149" s="36">
        <v>330.70743524195552</v>
      </c>
      <c r="I149" s="38">
        <f>H149*(1-'[1]Discounts page'!D$9)</f>
        <v>132.28297409678223</v>
      </c>
      <c r="J149" s="47">
        <f t="shared" si="7"/>
        <v>250</v>
      </c>
      <c r="K149" s="48">
        <f t="shared" si="6"/>
        <v>218</v>
      </c>
      <c r="L149" s="49">
        <f t="shared" si="8"/>
        <v>199</v>
      </c>
    </row>
    <row r="150" spans="1:12" ht="15.75" x14ac:dyDescent="0.25">
      <c r="A150" s="37">
        <v>5795</v>
      </c>
      <c r="B150" s="34"/>
      <c r="C150" s="35" t="s">
        <v>8</v>
      </c>
      <c r="D150" s="36">
        <v>398.2639831466667</v>
      </c>
      <c r="E150" s="38">
        <f>D150*(1-'[1]Discounts page'!D$9)</f>
        <v>159.3055932586667</v>
      </c>
      <c r="F150" s="36">
        <v>358.43758483200003</v>
      </c>
      <c r="G150" s="38">
        <f>F150*(1-'[1]Discounts page'!D$9)</f>
        <v>143.37503393280002</v>
      </c>
      <c r="H150" s="36">
        <v>338.52438567466669</v>
      </c>
      <c r="I150" s="38">
        <f>H150*(1-'[1]Discounts page'!D$9)</f>
        <v>135.40975426986668</v>
      </c>
      <c r="J150" s="47">
        <f t="shared" si="7"/>
        <v>255</v>
      </c>
      <c r="K150" s="48">
        <f t="shared" si="6"/>
        <v>223</v>
      </c>
      <c r="L150" s="49">
        <f t="shared" si="8"/>
        <v>204</v>
      </c>
    </row>
    <row r="151" spans="1:12" ht="15.75" x14ac:dyDescent="0.25">
      <c r="A151" s="37">
        <v>5945</v>
      </c>
      <c r="B151" s="34"/>
      <c r="C151" s="35" t="s">
        <v>8</v>
      </c>
      <c r="D151" s="36">
        <v>408.35037080177784</v>
      </c>
      <c r="E151" s="38">
        <f>D151*(1-'[1]Discounts page'!D$9)</f>
        <v>163.34014832071114</v>
      </c>
      <c r="F151" s="36">
        <v>367.51533372160009</v>
      </c>
      <c r="G151" s="38">
        <f>F151*(1-'[1]Discounts page'!D$9)</f>
        <v>147.00613348864005</v>
      </c>
      <c r="H151" s="36">
        <v>347.09781518151118</v>
      </c>
      <c r="I151" s="38">
        <f>H151*(1-'[1]Discounts page'!D$9)</f>
        <v>138.83912607260447</v>
      </c>
      <c r="J151" s="47">
        <f t="shared" si="7"/>
        <v>262</v>
      </c>
      <c r="K151" s="48">
        <f t="shared" si="6"/>
        <v>228</v>
      </c>
      <c r="L151" s="49">
        <f t="shared" si="8"/>
        <v>209</v>
      </c>
    </row>
    <row r="152" spans="1:12" ht="15.75" x14ac:dyDescent="0.25">
      <c r="A152" s="37">
        <v>6100</v>
      </c>
      <c r="B152" s="34"/>
      <c r="C152" s="35" t="s">
        <v>8</v>
      </c>
      <c r="D152" s="36">
        <v>418.43675845688909</v>
      </c>
      <c r="E152" s="38">
        <f>D152*(1-'[1]Discounts page'!D$9)</f>
        <v>167.37470338275565</v>
      </c>
      <c r="F152" s="36">
        <v>376.5930826112002</v>
      </c>
      <c r="G152" s="38">
        <f>F152*(1-'[1]Discounts page'!D$9)</f>
        <v>150.6372330444801</v>
      </c>
      <c r="H152" s="36">
        <v>355.67124468835573</v>
      </c>
      <c r="I152" s="38">
        <f>H152*(1-'[1]Discounts page'!D$9)</f>
        <v>142.26849787534229</v>
      </c>
      <c r="J152" s="47">
        <f t="shared" si="7"/>
        <v>268</v>
      </c>
      <c r="K152" s="48">
        <f t="shared" si="6"/>
        <v>234</v>
      </c>
      <c r="L152" s="49">
        <f t="shared" si="8"/>
        <v>214</v>
      </c>
    </row>
    <row r="153" spans="1:12" ht="15.75" x14ac:dyDescent="0.25">
      <c r="A153" s="37">
        <v>6250</v>
      </c>
      <c r="B153" s="34"/>
      <c r="C153" s="35" t="s">
        <v>8</v>
      </c>
      <c r="D153" s="36">
        <v>427.48484150044465</v>
      </c>
      <c r="E153" s="38">
        <f>D153*(1-'[1]Discounts page'!D$9)</f>
        <v>170.99393660017788</v>
      </c>
      <c r="F153" s="36">
        <v>384.73635735040017</v>
      </c>
      <c r="G153" s="38">
        <f>F153*(1-'[1]Discounts page'!D$9)</f>
        <v>153.89454294016008</v>
      </c>
      <c r="H153" s="36">
        <v>363.36211527537796</v>
      </c>
      <c r="I153" s="38">
        <f>H153*(1-'[1]Discounts page'!D$9)</f>
        <v>145.3448461101512</v>
      </c>
      <c r="J153" s="47">
        <f t="shared" si="7"/>
        <v>274</v>
      </c>
      <c r="K153" s="48">
        <f t="shared" si="6"/>
        <v>239</v>
      </c>
      <c r="L153" s="49">
        <f t="shared" si="8"/>
        <v>219</v>
      </c>
    </row>
    <row r="154" spans="1:12" ht="15.75" x14ac:dyDescent="0.25">
      <c r="A154" s="37">
        <v>6400</v>
      </c>
      <c r="B154" s="34"/>
      <c r="C154" s="35" t="s">
        <v>8</v>
      </c>
      <c r="D154" s="36">
        <v>437.71955838577799</v>
      </c>
      <c r="E154" s="38">
        <f>D154*(1-'[1]Discounts page'!D$9)</f>
        <v>175.08782335431121</v>
      </c>
      <c r="F154" s="36">
        <v>393.94760254720018</v>
      </c>
      <c r="G154" s="38">
        <f>F154*(1-'[1]Discounts page'!D$9)</f>
        <v>157.57904101888008</v>
      </c>
      <c r="H154" s="36">
        <v>372.06162462791127</v>
      </c>
      <c r="I154" s="38">
        <f>H154*(1-'[1]Discounts page'!D$9)</f>
        <v>148.82464985116451</v>
      </c>
      <c r="J154" s="47">
        <f t="shared" si="7"/>
        <v>281</v>
      </c>
      <c r="K154" s="48">
        <f t="shared" si="6"/>
        <v>245</v>
      </c>
      <c r="L154" s="49">
        <f t="shared" si="8"/>
        <v>224</v>
      </c>
    </row>
    <row r="155" spans="1:12" ht="15.75" x14ac:dyDescent="0.25">
      <c r="A155" s="37" t="s">
        <v>14</v>
      </c>
      <c r="B155" s="34"/>
      <c r="C155" s="35" t="s">
        <v>8</v>
      </c>
      <c r="D155" s="36">
        <v>447.50928758044461</v>
      </c>
      <c r="E155" s="38">
        <f>D155*(1-'[1]Discounts page'!D$9)</f>
        <v>179.00371503217787</v>
      </c>
      <c r="F155" s="36">
        <v>402.75835882240017</v>
      </c>
      <c r="G155" s="38">
        <f>F155*(1-'[1]Discounts page'!D$9)</f>
        <v>161.10334352896007</v>
      </c>
      <c r="H155" s="36">
        <v>380.38289444337789</v>
      </c>
      <c r="I155" s="38">
        <f>H155*(1-'[1]Discounts page'!D$9)</f>
        <v>152.15315777735117</v>
      </c>
      <c r="J155" s="47">
        <f t="shared" si="7"/>
        <v>287</v>
      </c>
      <c r="K155" s="48">
        <f t="shared" si="6"/>
        <v>250</v>
      </c>
      <c r="L155" s="49">
        <f t="shared" si="8"/>
        <v>229</v>
      </c>
    </row>
    <row r="156" spans="1:12" ht="15.75" x14ac:dyDescent="0.25">
      <c r="A156" s="37" t="s">
        <v>15</v>
      </c>
      <c r="B156" s="34"/>
      <c r="C156" s="35" t="s">
        <v>8</v>
      </c>
      <c r="D156" s="36">
        <v>457.44734600533349</v>
      </c>
      <c r="E156" s="38">
        <f>D156*(1-'[1]Discounts page'!D$9)</f>
        <v>182.97893840213339</v>
      </c>
      <c r="F156" s="36">
        <v>411.70261140480017</v>
      </c>
      <c r="G156" s="38">
        <f>F156*(1-'[1]Discounts page'!D$9)</f>
        <v>164.68104456192009</v>
      </c>
      <c r="H156" s="36">
        <v>388.83024410453345</v>
      </c>
      <c r="I156" s="38">
        <f>H156*(1-'[1]Discounts page'!D$9)</f>
        <v>155.53209764181338</v>
      </c>
      <c r="J156" s="47">
        <f t="shared" si="7"/>
        <v>293</v>
      </c>
      <c r="K156" s="48">
        <f t="shared" si="6"/>
        <v>256</v>
      </c>
      <c r="L156" s="49">
        <f t="shared" si="8"/>
        <v>234</v>
      </c>
    </row>
    <row r="157" spans="1:12" ht="15.75" x14ac:dyDescent="0.25">
      <c r="A157" s="37" t="s">
        <v>16</v>
      </c>
      <c r="B157" s="34"/>
      <c r="C157" s="35" t="s">
        <v>8</v>
      </c>
      <c r="D157" s="36">
        <v>466.7920875093335</v>
      </c>
      <c r="E157" s="38">
        <f>D157*(1-'[1]Discounts page'!D$9)</f>
        <v>186.71683500373342</v>
      </c>
      <c r="F157" s="36">
        <v>420.11287875840014</v>
      </c>
      <c r="G157" s="38">
        <f>F157*(1-'[1]Discounts page'!D$9)</f>
        <v>168.04515150336007</v>
      </c>
      <c r="H157" s="36">
        <v>396.77327438293344</v>
      </c>
      <c r="I157" s="38">
        <f>H157*(1-'[1]Discounts page'!D$9)</f>
        <v>158.70930975317339</v>
      </c>
      <c r="J157" s="47">
        <f t="shared" si="7"/>
        <v>299</v>
      </c>
      <c r="K157" s="48">
        <f t="shared" si="6"/>
        <v>261</v>
      </c>
      <c r="L157" s="49">
        <f t="shared" si="8"/>
        <v>239</v>
      </c>
    </row>
    <row r="158" spans="1:12" ht="15.75" x14ac:dyDescent="0.25">
      <c r="A158" s="37" t="s">
        <v>17</v>
      </c>
      <c r="B158" s="34"/>
      <c r="C158" s="35" t="s">
        <v>8</v>
      </c>
      <c r="D158" s="36">
        <v>476.87847516444452</v>
      </c>
      <c r="E158" s="38">
        <f>D158*(1-'[1]Discounts page'!D$9)</f>
        <v>190.75139006577783</v>
      </c>
      <c r="F158" s="36">
        <v>429.19062764800009</v>
      </c>
      <c r="G158" s="38">
        <f>F158*(1-'[1]Discounts page'!D$9)</f>
        <v>171.67625105920004</v>
      </c>
      <c r="H158" s="36">
        <v>405.34670388977781</v>
      </c>
      <c r="I158" s="38">
        <f>H158*(1-'[1]Discounts page'!D$9)</f>
        <v>162.13868155591115</v>
      </c>
      <c r="J158" s="47">
        <f t="shared" si="7"/>
        <v>306</v>
      </c>
      <c r="K158" s="48">
        <f t="shared" si="6"/>
        <v>267</v>
      </c>
      <c r="L158" s="49">
        <f t="shared" si="8"/>
        <v>244</v>
      </c>
    </row>
    <row r="159" spans="1:12" ht="15.75" x14ac:dyDescent="0.25">
      <c r="A159" s="37" t="s">
        <v>18</v>
      </c>
      <c r="B159" s="34"/>
      <c r="C159" s="35" t="s">
        <v>8</v>
      </c>
      <c r="D159" s="36">
        <v>486.6682043591112</v>
      </c>
      <c r="E159" s="38">
        <f>D159*(1-'[1]Discounts page'!D$9)</f>
        <v>194.66728174364448</v>
      </c>
      <c r="F159" s="36">
        <v>438.00138392320008</v>
      </c>
      <c r="G159" s="38">
        <f>F159*(1-'[1]Discounts page'!D$9)</f>
        <v>175.20055356928003</v>
      </c>
      <c r="H159" s="36">
        <v>413.66797370524449</v>
      </c>
      <c r="I159" s="38">
        <f>H159*(1-'[1]Discounts page'!D$9)</f>
        <v>165.46718948209781</v>
      </c>
      <c r="J159" s="47">
        <f t="shared" si="7"/>
        <v>312</v>
      </c>
      <c r="K159" s="48">
        <f t="shared" si="6"/>
        <v>272</v>
      </c>
      <c r="L159" s="49">
        <f t="shared" si="8"/>
        <v>249</v>
      </c>
    </row>
    <row r="160" spans="1:12" ht="15.75" x14ac:dyDescent="0.25">
      <c r="A160" s="37" t="s">
        <v>19</v>
      </c>
      <c r="B160" s="34"/>
      <c r="C160" s="35" t="s">
        <v>8</v>
      </c>
      <c r="D160" s="36">
        <v>496.45793355377799</v>
      </c>
      <c r="E160" s="38">
        <f>D160*(1-'[1]Discounts page'!D$9)</f>
        <v>198.58317342151122</v>
      </c>
      <c r="F160" s="36">
        <v>446.81214019840019</v>
      </c>
      <c r="G160" s="38">
        <f>F160*(1-'[1]Discounts page'!D$9)</f>
        <v>178.72485607936008</v>
      </c>
      <c r="H160" s="36">
        <v>421.98924352071128</v>
      </c>
      <c r="I160" s="38">
        <f>H160*(1-'[1]Discounts page'!D$9)</f>
        <v>168.79569740828452</v>
      </c>
      <c r="J160" s="47">
        <f t="shared" si="7"/>
        <v>318</v>
      </c>
      <c r="K160" s="48">
        <f t="shared" si="6"/>
        <v>278</v>
      </c>
      <c r="L160" s="49">
        <f t="shared" si="8"/>
        <v>254</v>
      </c>
    </row>
    <row r="161" spans="1:12" ht="15.75" x14ac:dyDescent="0.25">
      <c r="A161" s="37" t="s">
        <v>20</v>
      </c>
      <c r="B161" s="34"/>
      <c r="C161" s="35" t="s">
        <v>8</v>
      </c>
      <c r="D161" s="36">
        <v>506.39599197866687</v>
      </c>
      <c r="E161" s="38">
        <f>D161*(1-'[1]Discounts page'!D$9)</f>
        <v>202.55839679146675</v>
      </c>
      <c r="F161" s="36">
        <v>455.75639278080018</v>
      </c>
      <c r="G161" s="38">
        <f>F161*(1-'[1]Discounts page'!D$9)</f>
        <v>182.30255711232007</v>
      </c>
      <c r="H161" s="36">
        <v>430.43659318186684</v>
      </c>
      <c r="I161" s="38">
        <f>H161*(1-'[1]Discounts page'!D$9)</f>
        <v>172.17463727274674</v>
      </c>
      <c r="J161" s="47">
        <f t="shared" si="7"/>
        <v>325</v>
      </c>
      <c r="K161" s="48">
        <f t="shared" si="6"/>
        <v>283</v>
      </c>
      <c r="L161" s="49">
        <f t="shared" si="8"/>
        <v>259</v>
      </c>
    </row>
    <row r="162" spans="1:12" ht="15.75" x14ac:dyDescent="0.25">
      <c r="A162" s="37" t="s">
        <v>21</v>
      </c>
      <c r="B162" s="34"/>
      <c r="C162" s="35" t="s">
        <v>8</v>
      </c>
      <c r="D162" s="36">
        <v>515.74073348266688</v>
      </c>
      <c r="E162" s="38">
        <f>D162*(1-'[1]Discounts page'!D$9)</f>
        <v>206.29629339306678</v>
      </c>
      <c r="F162" s="36">
        <v>464.16666013440022</v>
      </c>
      <c r="G162" s="38">
        <f>F162*(1-'[1]Discounts page'!D$9)</f>
        <v>185.66666405376009</v>
      </c>
      <c r="H162" s="36">
        <v>438.37962346026683</v>
      </c>
      <c r="I162" s="38">
        <f>H162*(1-'[1]Discounts page'!D$9)</f>
        <v>175.35184938410674</v>
      </c>
      <c r="J162" s="47">
        <f t="shared" si="7"/>
        <v>331</v>
      </c>
      <c r="K162" s="48">
        <f t="shared" si="6"/>
        <v>288</v>
      </c>
      <c r="L162" s="49">
        <f t="shared" si="8"/>
        <v>264</v>
      </c>
    </row>
    <row r="163" spans="1:12" ht="15.75" x14ac:dyDescent="0.25">
      <c r="A163" s="37" t="s">
        <v>22</v>
      </c>
      <c r="B163" s="34"/>
      <c r="C163" s="35" t="s">
        <v>8</v>
      </c>
      <c r="D163" s="36">
        <v>525.97545036800011</v>
      </c>
      <c r="E163" s="38">
        <f>D163*(1-'[1]Discounts page'!D$9)</f>
        <v>210.39018014720006</v>
      </c>
      <c r="F163" s="36">
        <v>473.37790533120011</v>
      </c>
      <c r="G163" s="38">
        <f>F163*(1-'[1]Discounts page'!D$9)</f>
        <v>189.35116213248006</v>
      </c>
      <c r="H163" s="36">
        <v>447.07913281280008</v>
      </c>
      <c r="I163" s="38">
        <f>H163*(1-'[1]Discounts page'!D$9)</f>
        <v>178.83165312512006</v>
      </c>
      <c r="J163" s="47">
        <f t="shared" si="7"/>
        <v>337</v>
      </c>
      <c r="K163" s="48">
        <f t="shared" si="6"/>
        <v>294</v>
      </c>
      <c r="L163" s="49">
        <f t="shared" si="8"/>
        <v>269</v>
      </c>
    </row>
    <row r="164" spans="1:12" ht="15.75" x14ac:dyDescent="0.25">
      <c r="A164" s="37" t="s">
        <v>23</v>
      </c>
      <c r="B164" s="34"/>
      <c r="C164" s="35" t="s">
        <v>8</v>
      </c>
      <c r="D164" s="36">
        <v>539.87528818844453</v>
      </c>
      <c r="E164" s="38">
        <f>D164*(1-'[1]Discounts page'!D$9)</f>
        <v>215.95011527537781</v>
      </c>
      <c r="F164" s="36">
        <v>485.88775936960008</v>
      </c>
      <c r="G164" s="38">
        <f>F164*(1-'[1]Discounts page'!D$9)</f>
        <v>194.35510374784005</v>
      </c>
      <c r="H164" s="36">
        <v>458.89399496017785</v>
      </c>
      <c r="I164" s="38">
        <f>H164*(1-'[1]Discounts page'!D$9)</f>
        <v>183.55759798407115</v>
      </c>
      <c r="J164" s="47">
        <f t="shared" si="7"/>
        <v>346</v>
      </c>
      <c r="K164" s="48">
        <f t="shared" si="6"/>
        <v>302</v>
      </c>
      <c r="L164" s="49">
        <f t="shared" si="8"/>
        <v>276</v>
      </c>
    </row>
    <row r="165" spans="1:12" ht="16.5" thickBot="1" x14ac:dyDescent="0.3">
      <c r="A165" s="37" t="s">
        <v>24</v>
      </c>
      <c r="B165" s="34"/>
      <c r="C165" s="35" t="s">
        <v>8</v>
      </c>
      <c r="D165" s="36">
        <v>550.55669619200012</v>
      </c>
      <c r="E165" s="38">
        <f>D165*(1-'[1]Discounts page'!D$9)</f>
        <v>220.22267847680007</v>
      </c>
      <c r="F165" s="36">
        <v>495.50102657280013</v>
      </c>
      <c r="G165" s="38">
        <f>F165*(1-'[1]Discounts page'!D$9)</f>
        <v>198.20041062912006</v>
      </c>
      <c r="H165" s="36">
        <v>467.97319176320008</v>
      </c>
      <c r="I165" s="38">
        <f>H165*(1-'[1]Discounts page'!D$9)</f>
        <v>187.18927670528004</v>
      </c>
      <c r="J165" s="50">
        <f t="shared" si="7"/>
        <v>353</v>
      </c>
      <c r="K165" s="51">
        <f t="shared" si="6"/>
        <v>308</v>
      </c>
      <c r="L165" s="52">
        <f t="shared" si="8"/>
        <v>281</v>
      </c>
    </row>
    <row r="166" spans="1:12" ht="15.75" thickBot="1" x14ac:dyDescent="0.3">
      <c r="A166" s="13"/>
      <c r="B166" s="4"/>
      <c r="C166" s="5"/>
      <c r="D166" s="14"/>
      <c r="E166" s="15"/>
      <c r="F166" s="14"/>
      <c r="G166" s="15"/>
      <c r="H166" s="14"/>
      <c r="I166" s="15"/>
    </row>
    <row r="167" spans="1:12" ht="18" x14ac:dyDescent="0.25">
      <c r="A167" s="58" t="s">
        <v>27</v>
      </c>
      <c r="B167" s="59"/>
      <c r="C167" s="60"/>
      <c r="D167" s="14"/>
      <c r="E167" s="15"/>
      <c r="F167" s="14"/>
      <c r="G167" s="15"/>
      <c r="H167" s="14"/>
      <c r="I167" s="15"/>
    </row>
    <row r="168" spans="1:12" ht="15.75" x14ac:dyDescent="0.25">
      <c r="A168" s="61" t="s">
        <v>28</v>
      </c>
      <c r="B168" s="9"/>
      <c r="C168" s="62"/>
      <c r="D168" s="10"/>
      <c r="E168" s="12"/>
      <c r="F168" s="10"/>
      <c r="G168" s="12"/>
      <c r="H168" s="10"/>
      <c r="I168" s="12"/>
    </row>
    <row r="169" spans="1:12" ht="16.5" thickBot="1" x14ac:dyDescent="0.3">
      <c r="A169" s="63" t="s">
        <v>29</v>
      </c>
      <c r="B169" s="64"/>
      <c r="C169" s="65"/>
      <c r="D169" s="10"/>
      <c r="E169" s="12"/>
      <c r="F169" s="10"/>
      <c r="G169" s="12"/>
      <c r="H169" s="10"/>
      <c r="I169" s="12"/>
    </row>
    <row r="170" spans="1:12" ht="15.75" x14ac:dyDescent="0.25">
      <c r="A170" s="11">
        <v>1525</v>
      </c>
      <c r="B170" s="8"/>
      <c r="C170" s="9" t="s">
        <v>30</v>
      </c>
      <c r="D170" s="10">
        <v>65.302598769777774</v>
      </c>
      <c r="E170" s="12">
        <f>D170*(1-'[1]Discounts page'!D$10)</f>
        <v>35.916429323377777</v>
      </c>
      <c r="F170" s="10">
        <v>58.772338892800001</v>
      </c>
      <c r="G170" s="12">
        <f>F170*(1-'[1]Discounts page'!D$10)</f>
        <v>32.32478639104</v>
      </c>
      <c r="H170" s="10">
        <v>55.507208954311103</v>
      </c>
      <c r="I170" s="12">
        <f>H170*(1-'[1]Discounts page'!D$10)</f>
        <v>30.528964924871108</v>
      </c>
      <c r="J170" s="47">
        <f t="shared" si="7"/>
        <v>58</v>
      </c>
      <c r="K170" s="48">
        <f t="shared" si="6"/>
        <v>51</v>
      </c>
      <c r="L170" s="49">
        <f t="shared" si="8"/>
        <v>46</v>
      </c>
    </row>
    <row r="171" spans="1:12" ht="15.75" x14ac:dyDescent="0.25">
      <c r="A171" s="11">
        <v>1680</v>
      </c>
      <c r="B171" s="8"/>
      <c r="C171" s="9" t="s">
        <v>30</v>
      </c>
      <c r="D171" s="10">
        <v>65.302598769777774</v>
      </c>
      <c r="E171" s="12">
        <f>D171*(1-'[1]Discounts page'!D$10)</f>
        <v>35.916429323377777</v>
      </c>
      <c r="F171" s="10">
        <v>58.772338892800001</v>
      </c>
      <c r="G171" s="12">
        <f>F171*(1-'[1]Discounts page'!D$10)</f>
        <v>32.32478639104</v>
      </c>
      <c r="H171" s="10">
        <v>55.507208954311103</v>
      </c>
      <c r="I171" s="12">
        <f>H171*(1-'[1]Discounts page'!D$10)</f>
        <v>30.528964924871108</v>
      </c>
      <c r="J171" s="47">
        <f t="shared" si="7"/>
        <v>58</v>
      </c>
      <c r="K171" s="48">
        <f t="shared" si="6"/>
        <v>51</v>
      </c>
      <c r="L171" s="49">
        <f t="shared" si="8"/>
        <v>46</v>
      </c>
    </row>
    <row r="172" spans="1:12" ht="15.75" x14ac:dyDescent="0.25">
      <c r="A172" s="11">
        <v>1830</v>
      </c>
      <c r="B172" s="8"/>
      <c r="C172" s="9" t="s">
        <v>30</v>
      </c>
      <c r="D172" s="10">
        <v>68.128191985777775</v>
      </c>
      <c r="E172" s="12">
        <f>D172*(1-'[1]Discounts page'!D$10)</f>
        <v>37.47050559217778</v>
      </c>
      <c r="F172" s="10">
        <v>61.315372787199998</v>
      </c>
      <c r="G172" s="12">
        <f>F172*(1-'[1]Discounts page'!D$10)</f>
        <v>33.723455032960004</v>
      </c>
      <c r="H172" s="10">
        <v>57.908963187911105</v>
      </c>
      <c r="I172" s="12">
        <f>H172*(1-'[1]Discounts page'!D$10)</f>
        <v>31.849929753351109</v>
      </c>
      <c r="J172" s="47">
        <f t="shared" si="7"/>
        <v>60</v>
      </c>
      <c r="K172" s="48">
        <f t="shared" si="6"/>
        <v>53</v>
      </c>
      <c r="L172" s="49">
        <f t="shared" si="8"/>
        <v>48</v>
      </c>
    </row>
    <row r="173" spans="1:12" ht="15.75" x14ac:dyDescent="0.25">
      <c r="A173" s="11">
        <v>1985</v>
      </c>
      <c r="B173" s="8"/>
      <c r="C173" s="9" t="s">
        <v>30</v>
      </c>
      <c r="D173" s="10">
        <v>73.151468814222227</v>
      </c>
      <c r="E173" s="12">
        <f>D173*(1-'[1]Discounts page'!D$10)</f>
        <v>40.233307847822225</v>
      </c>
      <c r="F173" s="10">
        <v>65.836321932800004</v>
      </c>
      <c r="G173" s="12">
        <f>F173*(1-'[1]Discounts page'!D$10)</f>
        <v>36.209977063040007</v>
      </c>
      <c r="H173" s="10">
        <v>62.178748492088893</v>
      </c>
      <c r="I173" s="12">
        <f>H173*(1-'[1]Discounts page'!D$10)</f>
        <v>34.198311670648891</v>
      </c>
      <c r="J173" s="47">
        <f t="shared" si="7"/>
        <v>65</v>
      </c>
      <c r="K173" s="48">
        <f t="shared" si="6"/>
        <v>57</v>
      </c>
      <c r="L173" s="49">
        <f t="shared" si="8"/>
        <v>52</v>
      </c>
    </row>
    <row r="174" spans="1:12" ht="15.75" x14ac:dyDescent="0.25">
      <c r="A174" s="11">
        <v>2135</v>
      </c>
      <c r="B174" s="8"/>
      <c r="C174" s="9" t="s">
        <v>30</v>
      </c>
      <c r="D174" s="10">
        <v>77.703813440000005</v>
      </c>
      <c r="E174" s="12">
        <f>D174*(1-'[1]Discounts page'!D$10)</f>
        <v>42.737097392000003</v>
      </c>
      <c r="F174" s="10">
        <v>69.933432096000004</v>
      </c>
      <c r="G174" s="12">
        <f>F174*(1-'[1]Discounts page'!D$10)</f>
        <v>38.463387652800009</v>
      </c>
      <c r="H174" s="10">
        <v>66.048241423999997</v>
      </c>
      <c r="I174" s="12">
        <f>H174*(1-'[1]Discounts page'!D$10)</f>
        <v>36.326532783200001</v>
      </c>
      <c r="J174" s="47">
        <f t="shared" si="7"/>
        <v>69</v>
      </c>
      <c r="K174" s="48">
        <f t="shared" si="6"/>
        <v>60</v>
      </c>
      <c r="L174" s="49">
        <f t="shared" si="8"/>
        <v>55</v>
      </c>
    </row>
    <row r="175" spans="1:12" ht="15.75" x14ac:dyDescent="0.25">
      <c r="A175" s="11">
        <v>2290</v>
      </c>
      <c r="B175" s="8"/>
      <c r="C175" s="9" t="s">
        <v>30</v>
      </c>
      <c r="D175" s="10">
        <v>82.413135466666674</v>
      </c>
      <c r="E175" s="12">
        <f>D175*(1-'[1]Discounts page'!D$10)</f>
        <v>45.327224506666674</v>
      </c>
      <c r="F175" s="10">
        <v>74.171821920000014</v>
      </c>
      <c r="G175" s="12">
        <f>F175*(1-'[1]Discounts page'!D$10)</f>
        <v>40.794502056000013</v>
      </c>
      <c r="H175" s="10">
        <v>70.051165146666676</v>
      </c>
      <c r="I175" s="12">
        <f>H175*(1-'[1]Discounts page'!D$10)</f>
        <v>38.528140830666672</v>
      </c>
      <c r="J175" s="47">
        <f t="shared" si="7"/>
        <v>73</v>
      </c>
      <c r="K175" s="48">
        <f t="shared" si="6"/>
        <v>64</v>
      </c>
      <c r="L175" s="49">
        <f t="shared" si="8"/>
        <v>58</v>
      </c>
    </row>
    <row r="176" spans="1:12" ht="15.75" x14ac:dyDescent="0.25">
      <c r="A176" s="11">
        <v>2440</v>
      </c>
      <c r="B176" s="8"/>
      <c r="C176" s="9" t="s">
        <v>30</v>
      </c>
      <c r="D176" s="10">
        <v>86.965480092444452</v>
      </c>
      <c r="E176" s="12">
        <f>D176*(1-'[1]Discounts page'!D$10)</f>
        <v>47.831014050844452</v>
      </c>
      <c r="F176" s="10">
        <v>78.268932083200013</v>
      </c>
      <c r="G176" s="12">
        <f>F176*(1-'[1]Discounts page'!D$10)</f>
        <v>43.047912645760007</v>
      </c>
      <c r="H176" s="10">
        <v>73.920658078577787</v>
      </c>
      <c r="I176" s="12">
        <f>H176*(1-'[1]Discounts page'!D$10)</f>
        <v>40.656361943217789</v>
      </c>
      <c r="J176" s="47">
        <f t="shared" si="7"/>
        <v>77</v>
      </c>
      <c r="K176" s="48">
        <f t="shared" si="6"/>
        <v>67</v>
      </c>
      <c r="L176" s="49">
        <f t="shared" si="8"/>
        <v>61</v>
      </c>
    </row>
    <row r="177" spans="1:12" ht="15.75" x14ac:dyDescent="0.25">
      <c r="A177" s="7" t="s">
        <v>31</v>
      </c>
      <c r="B177" s="8"/>
      <c r="C177" s="9"/>
      <c r="D177" s="10"/>
      <c r="E177" s="12"/>
      <c r="F177" s="10"/>
      <c r="G177" s="12"/>
      <c r="H177" s="10"/>
      <c r="I177" s="12"/>
      <c r="J177" s="47">
        <f t="shared" si="7"/>
        <v>0</v>
      </c>
      <c r="K177" s="48">
        <f t="shared" si="6"/>
        <v>0</v>
      </c>
      <c r="L177" s="49">
        <f t="shared" si="8"/>
        <v>0</v>
      </c>
    </row>
    <row r="178" spans="1:12" ht="15.75" x14ac:dyDescent="0.25">
      <c r="A178" s="11">
        <v>1525</v>
      </c>
      <c r="B178" s="8"/>
      <c r="C178" s="9" t="s">
        <v>30</v>
      </c>
      <c r="D178" s="10">
        <v>33.122231587555554</v>
      </c>
      <c r="E178" s="12">
        <f>D178*(1-'[1]Discounts page'!D$10)</f>
        <v>18.217227373155556</v>
      </c>
      <c r="F178" s="10">
        <v>29.8100084288</v>
      </c>
      <c r="G178" s="12">
        <f>F178*(1-'[1]Discounts page'!D$10)</f>
        <v>16.395504635840002</v>
      </c>
      <c r="H178" s="10">
        <v>28.153896849422221</v>
      </c>
      <c r="I178" s="12">
        <f>H178*(1-'[1]Discounts page'!D$10)</f>
        <v>15.484643267182223</v>
      </c>
      <c r="J178" s="47">
        <f t="shared" si="7"/>
        <v>30</v>
      </c>
      <c r="K178" s="48">
        <f t="shared" si="6"/>
        <v>26</v>
      </c>
      <c r="L178" s="49">
        <f t="shared" si="8"/>
        <v>24</v>
      </c>
    </row>
    <row r="179" spans="1:12" ht="15.75" x14ac:dyDescent="0.25">
      <c r="A179" s="11">
        <v>1680</v>
      </c>
      <c r="B179" s="8"/>
      <c r="C179" s="9" t="s">
        <v>30</v>
      </c>
      <c r="D179" s="10">
        <v>33.122231587555554</v>
      </c>
      <c r="E179" s="12">
        <f>D179*(1-'[1]Discounts page'!D$10)</f>
        <v>18.217227373155556</v>
      </c>
      <c r="F179" s="10">
        <v>29.8100084288</v>
      </c>
      <c r="G179" s="12">
        <f>F179*(1-'[1]Discounts page'!D$10)</f>
        <v>16.395504635840002</v>
      </c>
      <c r="H179" s="10">
        <v>28.153896849422221</v>
      </c>
      <c r="I179" s="12">
        <f>H179*(1-'[1]Discounts page'!D$10)</f>
        <v>15.484643267182223</v>
      </c>
      <c r="J179" s="47">
        <f t="shared" si="7"/>
        <v>30</v>
      </c>
      <c r="K179" s="48">
        <f t="shared" si="6"/>
        <v>26</v>
      </c>
      <c r="L179" s="49">
        <f t="shared" si="8"/>
        <v>24</v>
      </c>
    </row>
    <row r="180" spans="1:12" ht="15.75" x14ac:dyDescent="0.25">
      <c r="A180" s="11">
        <v>1830</v>
      </c>
      <c r="B180" s="8"/>
      <c r="C180" s="9" t="s">
        <v>30</v>
      </c>
      <c r="D180" s="10">
        <v>33.122231587555554</v>
      </c>
      <c r="E180" s="12">
        <f>D180*(1-'[1]Discounts page'!D$10)</f>
        <v>18.217227373155556</v>
      </c>
      <c r="F180" s="10">
        <v>29.8100084288</v>
      </c>
      <c r="G180" s="12">
        <f>F180*(1-'[1]Discounts page'!D$10)</f>
        <v>16.395504635840002</v>
      </c>
      <c r="H180" s="10">
        <v>28.153896849422221</v>
      </c>
      <c r="I180" s="12">
        <f>H180*(1-'[1]Discounts page'!D$10)</f>
        <v>15.484643267182223</v>
      </c>
      <c r="J180" s="47">
        <f t="shared" si="7"/>
        <v>30</v>
      </c>
      <c r="K180" s="48">
        <f t="shared" si="6"/>
        <v>26</v>
      </c>
      <c r="L180" s="49">
        <f t="shared" si="8"/>
        <v>24</v>
      </c>
    </row>
    <row r="181" spans="1:12" ht="15.75" x14ac:dyDescent="0.25">
      <c r="A181" s="11">
        <v>1985</v>
      </c>
      <c r="B181" s="8"/>
      <c r="C181" s="9" t="s">
        <v>30</v>
      </c>
      <c r="D181" s="10">
        <v>33.122231587555554</v>
      </c>
      <c r="E181" s="12">
        <f>D181*(1-'[1]Discounts page'!D$10)</f>
        <v>18.217227373155556</v>
      </c>
      <c r="F181" s="10">
        <v>29.8100084288</v>
      </c>
      <c r="G181" s="12">
        <f>F181*(1-'[1]Discounts page'!D$10)</f>
        <v>16.395504635840002</v>
      </c>
      <c r="H181" s="10">
        <v>28.153896849422221</v>
      </c>
      <c r="I181" s="12">
        <f>H181*(1-'[1]Discounts page'!D$10)</f>
        <v>15.484643267182223</v>
      </c>
      <c r="J181" s="47">
        <f t="shared" si="7"/>
        <v>30</v>
      </c>
      <c r="K181" s="48">
        <f t="shared" si="6"/>
        <v>26</v>
      </c>
      <c r="L181" s="49">
        <f t="shared" si="8"/>
        <v>24</v>
      </c>
    </row>
    <row r="182" spans="1:12" ht="15.75" x14ac:dyDescent="0.25">
      <c r="A182" s="11">
        <v>2135</v>
      </c>
      <c r="B182" s="8"/>
      <c r="C182" s="9" t="s">
        <v>30</v>
      </c>
      <c r="D182" s="10">
        <v>33.122231587555554</v>
      </c>
      <c r="E182" s="12">
        <f>D182*(1-'[1]Discounts page'!D$10)</f>
        <v>18.217227373155556</v>
      </c>
      <c r="F182" s="10">
        <v>29.8100084288</v>
      </c>
      <c r="G182" s="12">
        <f>F182*(1-'[1]Discounts page'!D$10)</f>
        <v>16.395504635840002</v>
      </c>
      <c r="H182" s="10">
        <v>28.153896849422221</v>
      </c>
      <c r="I182" s="12">
        <f>H182*(1-'[1]Discounts page'!D$10)</f>
        <v>15.484643267182223</v>
      </c>
      <c r="J182" s="47">
        <f t="shared" si="7"/>
        <v>30</v>
      </c>
      <c r="K182" s="48">
        <f t="shared" si="6"/>
        <v>26</v>
      </c>
      <c r="L182" s="49">
        <f t="shared" si="8"/>
        <v>24</v>
      </c>
    </row>
    <row r="183" spans="1:12" ht="15.75" x14ac:dyDescent="0.25">
      <c r="A183" s="11">
        <v>2290</v>
      </c>
      <c r="B183" s="8"/>
      <c r="C183" s="9" t="s">
        <v>30</v>
      </c>
      <c r="D183" s="10">
        <v>33.122231587555554</v>
      </c>
      <c r="E183" s="12">
        <f>D183*(1-'[1]Discounts page'!D$10)</f>
        <v>18.217227373155556</v>
      </c>
      <c r="F183" s="10">
        <v>29.8100084288</v>
      </c>
      <c r="G183" s="12">
        <f>F183*(1-'[1]Discounts page'!D$10)</f>
        <v>16.395504635840002</v>
      </c>
      <c r="H183" s="10">
        <v>28.153896849422221</v>
      </c>
      <c r="I183" s="12">
        <f>H183*(1-'[1]Discounts page'!D$10)</f>
        <v>15.484643267182223</v>
      </c>
      <c r="J183" s="47">
        <f t="shared" si="7"/>
        <v>30</v>
      </c>
      <c r="K183" s="48">
        <f t="shared" si="6"/>
        <v>26</v>
      </c>
      <c r="L183" s="49">
        <f t="shared" si="8"/>
        <v>24</v>
      </c>
    </row>
    <row r="184" spans="1:12" ht="15.75" x14ac:dyDescent="0.25">
      <c r="A184" s="11">
        <v>2440</v>
      </c>
      <c r="B184" s="8"/>
      <c r="C184" s="9" t="s">
        <v>30</v>
      </c>
      <c r="D184" s="10">
        <v>33.122231587555554</v>
      </c>
      <c r="E184" s="12">
        <f>D184*(1-'[1]Discounts page'!D$10)</f>
        <v>18.217227373155556</v>
      </c>
      <c r="F184" s="10">
        <v>29.8100084288</v>
      </c>
      <c r="G184" s="12">
        <f>F184*(1-'[1]Discounts page'!D$10)</f>
        <v>16.395504635840002</v>
      </c>
      <c r="H184" s="10">
        <v>28.153896849422221</v>
      </c>
      <c r="I184" s="12">
        <f>H184*(1-'[1]Discounts page'!D$10)</f>
        <v>15.484643267182223</v>
      </c>
      <c r="J184" s="47">
        <f t="shared" si="7"/>
        <v>30</v>
      </c>
      <c r="K184" s="48">
        <f t="shared" si="6"/>
        <v>26</v>
      </c>
      <c r="L184" s="49">
        <f t="shared" si="8"/>
        <v>24</v>
      </c>
    </row>
    <row r="185" spans="1:12" ht="15.75" x14ac:dyDescent="0.25">
      <c r="A185" s="11">
        <v>2590</v>
      </c>
      <c r="B185" s="8"/>
      <c r="C185" s="9" t="s">
        <v>30</v>
      </c>
      <c r="D185" s="10">
        <v>36.418757006222229</v>
      </c>
      <c r="E185" s="12">
        <f>D185*(1-'[1]Discounts page'!D$10)</f>
        <v>20.030316353422229</v>
      </c>
      <c r="F185" s="10">
        <v>32.776881305600007</v>
      </c>
      <c r="G185" s="12">
        <f>F185*(1-'[1]Discounts page'!D$10)</f>
        <v>18.027284718080004</v>
      </c>
      <c r="H185" s="10">
        <v>30.955943455288892</v>
      </c>
      <c r="I185" s="12">
        <f>H185*(1-'[1]Discounts page'!D$10)</f>
        <v>17.025768900408892</v>
      </c>
      <c r="J185" s="47">
        <f t="shared" si="7"/>
        <v>33</v>
      </c>
      <c r="K185" s="48">
        <f t="shared" si="6"/>
        <v>28</v>
      </c>
      <c r="L185" s="49">
        <f t="shared" si="8"/>
        <v>26</v>
      </c>
    </row>
    <row r="186" spans="1:12" ht="15.75" x14ac:dyDescent="0.25">
      <c r="A186" s="11">
        <v>2745</v>
      </c>
      <c r="B186" s="8"/>
      <c r="C186" s="9" t="s">
        <v>30</v>
      </c>
      <c r="D186" s="10">
        <v>39.401327623111122</v>
      </c>
      <c r="E186" s="12">
        <f>D186*(1-'[1]Discounts page'!D$10)</f>
        <v>21.670730192711119</v>
      </c>
      <c r="F186" s="10">
        <v>35.461194860800013</v>
      </c>
      <c r="G186" s="12">
        <f>F186*(1-'[1]Discounts page'!D$10)</f>
        <v>19.503657173440008</v>
      </c>
      <c r="H186" s="10">
        <v>33.491128479644452</v>
      </c>
      <c r="I186" s="12">
        <f>H186*(1-'[1]Discounts page'!D$10)</f>
        <v>18.42012066380445</v>
      </c>
      <c r="J186" s="47">
        <f t="shared" si="7"/>
        <v>35</v>
      </c>
      <c r="K186" s="48">
        <f t="shared" si="6"/>
        <v>31</v>
      </c>
      <c r="L186" s="49">
        <f t="shared" si="8"/>
        <v>28</v>
      </c>
    </row>
    <row r="187" spans="1:12" ht="15.75" x14ac:dyDescent="0.25">
      <c r="A187" s="11">
        <v>2895</v>
      </c>
      <c r="B187" s="8"/>
      <c r="C187" s="9" t="s">
        <v>30</v>
      </c>
      <c r="D187" s="10">
        <v>42.069943438222232</v>
      </c>
      <c r="E187" s="12">
        <f>D187*(1-'[1]Discounts page'!D$10)</f>
        <v>23.138468891022228</v>
      </c>
      <c r="F187" s="10">
        <v>37.862949094400008</v>
      </c>
      <c r="G187" s="12">
        <f>F187*(1-'[1]Discounts page'!D$10)</f>
        <v>20.824622001920005</v>
      </c>
      <c r="H187" s="10">
        <v>35.7594519224889</v>
      </c>
      <c r="I187" s="12">
        <f>H187*(1-'[1]Discounts page'!D$10)</f>
        <v>19.667698557368897</v>
      </c>
      <c r="J187" s="47">
        <f t="shared" si="7"/>
        <v>38</v>
      </c>
      <c r="K187" s="48">
        <f t="shared" si="6"/>
        <v>33</v>
      </c>
      <c r="L187" s="49">
        <f t="shared" si="8"/>
        <v>30</v>
      </c>
    </row>
    <row r="188" spans="1:12" ht="15.75" x14ac:dyDescent="0.25">
      <c r="A188" s="11">
        <v>3050</v>
      </c>
      <c r="B188" s="8"/>
      <c r="C188" s="9" t="s">
        <v>30</v>
      </c>
      <c r="D188" s="10">
        <v>43.482740046222233</v>
      </c>
      <c r="E188" s="12">
        <f>D188*(1-'[1]Discounts page'!D$10)</f>
        <v>23.91550702542223</v>
      </c>
      <c r="F188" s="10">
        <v>39.134466041600014</v>
      </c>
      <c r="G188" s="12">
        <f>F188*(1-'[1]Discounts page'!D$10)</f>
        <v>21.523956322880011</v>
      </c>
      <c r="H188" s="10">
        <v>36.960329039288894</v>
      </c>
      <c r="I188" s="12">
        <f>H188*(1-'[1]Discounts page'!D$10)</f>
        <v>20.328180971608894</v>
      </c>
      <c r="J188" s="47">
        <f t="shared" si="7"/>
        <v>39</v>
      </c>
      <c r="K188" s="48">
        <f t="shared" si="6"/>
        <v>34</v>
      </c>
      <c r="L188" s="49">
        <f t="shared" si="8"/>
        <v>31</v>
      </c>
    </row>
    <row r="189" spans="1:12" ht="15.75" x14ac:dyDescent="0.25">
      <c r="A189" s="7" t="s">
        <v>32</v>
      </c>
      <c r="B189" s="8"/>
      <c r="C189" s="9"/>
      <c r="D189" s="10"/>
      <c r="E189" s="12"/>
      <c r="F189" s="10"/>
      <c r="G189" s="12"/>
      <c r="H189" s="10"/>
      <c r="I189" s="12"/>
      <c r="J189" s="47">
        <f t="shared" si="7"/>
        <v>0</v>
      </c>
      <c r="K189" s="48">
        <f t="shared" si="6"/>
        <v>0</v>
      </c>
      <c r="L189" s="49">
        <f t="shared" si="8"/>
        <v>0</v>
      </c>
    </row>
    <row r="190" spans="1:12" ht="15.75" x14ac:dyDescent="0.25">
      <c r="A190" s="7" t="s">
        <v>33</v>
      </c>
      <c r="B190" s="8"/>
      <c r="C190" s="9"/>
      <c r="D190" s="10"/>
      <c r="E190" s="12"/>
      <c r="F190" s="10"/>
      <c r="G190" s="12"/>
      <c r="H190" s="10"/>
      <c r="I190" s="12"/>
      <c r="J190" s="47">
        <f t="shared" si="7"/>
        <v>0</v>
      </c>
      <c r="K190" s="48">
        <f t="shared" si="6"/>
        <v>0</v>
      </c>
      <c r="L190" s="49">
        <f t="shared" si="8"/>
        <v>0</v>
      </c>
    </row>
    <row r="191" spans="1:12" ht="15.75" x14ac:dyDescent="0.25">
      <c r="A191" s="11">
        <v>1525</v>
      </c>
      <c r="B191" s="8"/>
      <c r="C191" s="9" t="s">
        <v>30</v>
      </c>
      <c r="D191" s="10">
        <v>50.860677888000005</v>
      </c>
      <c r="E191" s="12">
        <f>D191*(1-'[1]Discounts page'!D$10)</f>
        <v>27.973372838400007</v>
      </c>
      <c r="F191" s="10">
        <v>45.774610099200004</v>
      </c>
      <c r="G191" s="12">
        <f>F191*(1-'[1]Discounts page'!D$10)</f>
        <v>25.176035554560006</v>
      </c>
      <c r="H191" s="10">
        <v>43.2315762048</v>
      </c>
      <c r="I191" s="12">
        <f>H191*(1-'[1]Discounts page'!D$10)</f>
        <v>23.777366912640002</v>
      </c>
      <c r="J191" s="47">
        <f t="shared" si="7"/>
        <v>45</v>
      </c>
      <c r="K191" s="48">
        <f t="shared" si="6"/>
        <v>40</v>
      </c>
      <c r="L191" s="49">
        <f t="shared" si="8"/>
        <v>36</v>
      </c>
    </row>
    <row r="192" spans="1:12" ht="15.75" x14ac:dyDescent="0.25">
      <c r="A192" s="11">
        <v>1680</v>
      </c>
      <c r="B192" s="8"/>
      <c r="C192" s="9" t="s">
        <v>30</v>
      </c>
      <c r="D192" s="10">
        <v>54.942090311111123</v>
      </c>
      <c r="E192" s="12">
        <f>D192*(1-'[1]Discounts page'!D$10)</f>
        <v>30.218149671111121</v>
      </c>
      <c r="F192" s="10">
        <v>49.447881280000011</v>
      </c>
      <c r="G192" s="12">
        <f>F192*(1-'[1]Discounts page'!D$10)</f>
        <v>27.196334704000009</v>
      </c>
      <c r="H192" s="10">
        <v>46.700776764444456</v>
      </c>
      <c r="I192" s="12">
        <f>H192*(1-'[1]Discounts page'!D$10)</f>
        <v>25.685427220444453</v>
      </c>
      <c r="J192" s="47">
        <f t="shared" si="7"/>
        <v>49</v>
      </c>
      <c r="K192" s="48">
        <f t="shared" si="6"/>
        <v>43</v>
      </c>
      <c r="L192" s="49">
        <f t="shared" si="8"/>
        <v>39</v>
      </c>
    </row>
    <row r="193" spans="1:12" ht="15.75" x14ac:dyDescent="0.25">
      <c r="A193" s="11">
        <v>1830</v>
      </c>
      <c r="B193" s="8"/>
      <c r="C193" s="9" t="s">
        <v>30</v>
      </c>
      <c r="D193" s="10">
        <v>58.709547932444444</v>
      </c>
      <c r="E193" s="12">
        <f>D193*(1-'[1]Discounts page'!D$10)</f>
        <v>32.290251362844444</v>
      </c>
      <c r="F193" s="10">
        <v>52.8385931392</v>
      </c>
      <c r="G193" s="12">
        <f>F193*(1-'[1]Discounts page'!D$10)</f>
        <v>29.061226226560002</v>
      </c>
      <c r="H193" s="10">
        <v>49.903115742577775</v>
      </c>
      <c r="I193" s="12">
        <f>H193*(1-'[1]Discounts page'!D$10)</f>
        <v>27.446713658417778</v>
      </c>
      <c r="J193" s="47">
        <f t="shared" si="7"/>
        <v>52</v>
      </c>
      <c r="K193" s="48">
        <f t="shared" si="6"/>
        <v>46</v>
      </c>
      <c r="L193" s="49">
        <f t="shared" si="8"/>
        <v>42</v>
      </c>
    </row>
    <row r="194" spans="1:12" ht="15.75" x14ac:dyDescent="0.25">
      <c r="A194" s="11">
        <v>1985</v>
      </c>
      <c r="B194" s="8"/>
      <c r="C194" s="9" t="s">
        <v>30</v>
      </c>
      <c r="D194" s="10">
        <v>62.633982954666671</v>
      </c>
      <c r="E194" s="12">
        <f>D194*(1-'[1]Discounts page'!D$10)</f>
        <v>34.448690625066675</v>
      </c>
      <c r="F194" s="10">
        <v>56.370584659200006</v>
      </c>
      <c r="G194" s="12">
        <f>F194*(1-'[1]Discounts page'!D$10)</f>
        <v>31.003821562560006</v>
      </c>
      <c r="H194" s="10">
        <v>53.23888551146667</v>
      </c>
      <c r="I194" s="12">
        <f>H194*(1-'[1]Discounts page'!D$10)</f>
        <v>29.281387031306672</v>
      </c>
      <c r="J194" s="47">
        <f t="shared" si="7"/>
        <v>56</v>
      </c>
      <c r="K194" s="48">
        <f t="shared" si="6"/>
        <v>49</v>
      </c>
      <c r="L194" s="49">
        <f t="shared" si="8"/>
        <v>44</v>
      </c>
    </row>
    <row r="195" spans="1:12" ht="15.75" x14ac:dyDescent="0.25">
      <c r="A195" s="11">
        <v>2135</v>
      </c>
      <c r="B195" s="8"/>
      <c r="C195" s="9" t="s">
        <v>30</v>
      </c>
      <c r="D195" s="10">
        <v>65.930508373333339</v>
      </c>
      <c r="E195" s="12">
        <f>D195*(1-'[1]Discounts page'!D$10)</f>
        <v>36.261779605333338</v>
      </c>
      <c r="F195" s="10">
        <v>59.337457536000009</v>
      </c>
      <c r="G195" s="12">
        <f>F195*(1-'[1]Discounts page'!D$10)</f>
        <v>32.635601644800005</v>
      </c>
      <c r="H195" s="10">
        <v>56.040932117333334</v>
      </c>
      <c r="I195" s="12">
        <f>H195*(1-'[1]Discounts page'!D$10)</f>
        <v>30.822512664533335</v>
      </c>
      <c r="J195" s="47">
        <f t="shared" si="7"/>
        <v>59</v>
      </c>
      <c r="K195" s="48">
        <f t="shared" si="6"/>
        <v>51</v>
      </c>
      <c r="L195" s="49">
        <f t="shared" si="8"/>
        <v>47</v>
      </c>
    </row>
    <row r="196" spans="1:12" ht="15.75" x14ac:dyDescent="0.25">
      <c r="A196" s="11">
        <v>2290</v>
      </c>
      <c r="B196" s="8"/>
      <c r="C196" s="9" t="s">
        <v>30</v>
      </c>
      <c r="D196" s="10">
        <v>70.011920796444443</v>
      </c>
      <c r="E196" s="12">
        <f>D196*(1-'[1]Discounts page'!D$10)</f>
        <v>38.506556438044448</v>
      </c>
      <c r="F196" s="10">
        <v>63.010728716800003</v>
      </c>
      <c r="G196" s="12">
        <f>F196*(1-'[1]Discounts page'!D$10)</f>
        <v>34.655900794240004</v>
      </c>
      <c r="H196" s="10">
        <v>59.510132676977776</v>
      </c>
      <c r="I196" s="12">
        <f>H196*(1-'[1]Discounts page'!D$10)</f>
        <v>32.730572972337782</v>
      </c>
      <c r="J196" s="47">
        <f t="shared" si="7"/>
        <v>62</v>
      </c>
      <c r="K196" s="48">
        <f t="shared" si="6"/>
        <v>54</v>
      </c>
      <c r="L196" s="49">
        <f t="shared" si="8"/>
        <v>50</v>
      </c>
    </row>
    <row r="197" spans="1:12" ht="15.75" x14ac:dyDescent="0.25">
      <c r="A197" s="11">
        <v>2440</v>
      </c>
      <c r="B197" s="8"/>
      <c r="C197" s="9" t="s">
        <v>30</v>
      </c>
      <c r="D197" s="10">
        <v>73.622401016888901</v>
      </c>
      <c r="E197" s="12">
        <f>D197*(1-'[1]Discounts page'!D$10)</f>
        <v>40.492320559288899</v>
      </c>
      <c r="F197" s="10">
        <v>66.260160915200018</v>
      </c>
      <c r="G197" s="12">
        <f>F197*(1-'[1]Discounts page'!D$10)</f>
        <v>36.443088503360016</v>
      </c>
      <c r="H197" s="10">
        <v>62.579040864355562</v>
      </c>
      <c r="I197" s="12">
        <f>H197*(1-'[1]Discounts page'!D$10)</f>
        <v>34.418472475395561</v>
      </c>
      <c r="J197" s="47">
        <f t="shared" si="7"/>
        <v>65</v>
      </c>
      <c r="K197" s="48">
        <f t="shared" si="6"/>
        <v>57</v>
      </c>
      <c r="L197" s="49">
        <f t="shared" si="8"/>
        <v>52</v>
      </c>
    </row>
    <row r="198" spans="1:12" ht="15.75" x14ac:dyDescent="0.25">
      <c r="A198" s="11">
        <v>2590</v>
      </c>
      <c r="B198" s="8"/>
      <c r="C198" s="9" t="s">
        <v>30</v>
      </c>
      <c r="D198" s="10">
        <v>77.389858638222222</v>
      </c>
      <c r="E198" s="12">
        <f>D198*(1-'[1]Discounts page'!D$10)</f>
        <v>42.564422251022222</v>
      </c>
      <c r="F198" s="10">
        <v>69.6508727744</v>
      </c>
      <c r="G198" s="12">
        <f>F198*(1-'[1]Discounts page'!D$10)</f>
        <v>38.307980025920003</v>
      </c>
      <c r="H198" s="10">
        <v>65.781379842488889</v>
      </c>
      <c r="I198" s="12">
        <f>H198*(1-'[1]Discounts page'!D$10)</f>
        <v>36.179758913368893</v>
      </c>
      <c r="J198" s="47">
        <f t="shared" si="7"/>
        <v>69</v>
      </c>
      <c r="K198" s="48">
        <f t="shared" si="6"/>
        <v>60</v>
      </c>
      <c r="L198" s="49">
        <f t="shared" si="8"/>
        <v>55</v>
      </c>
    </row>
    <row r="199" spans="1:12" ht="15.75" x14ac:dyDescent="0.25">
      <c r="A199" s="11">
        <v>2745</v>
      </c>
      <c r="B199" s="8"/>
      <c r="C199" s="9" t="s">
        <v>30</v>
      </c>
      <c r="D199" s="10">
        <v>81.157316259555557</v>
      </c>
      <c r="E199" s="12">
        <f>D199*(1-'[1]Discounts page'!D$10)</f>
        <v>44.636523942755559</v>
      </c>
      <c r="F199" s="10">
        <v>73.04158463360001</v>
      </c>
      <c r="G199" s="12">
        <f>F199*(1-'[1]Discounts page'!D$10)</f>
        <v>40.172871548480011</v>
      </c>
      <c r="H199" s="10">
        <v>68.983718820622215</v>
      </c>
      <c r="I199" s="12">
        <f>H199*(1-'[1]Discounts page'!D$10)</f>
        <v>37.941045351342218</v>
      </c>
      <c r="J199" s="47">
        <f t="shared" si="7"/>
        <v>72</v>
      </c>
      <c r="K199" s="48">
        <f t="shared" si="6"/>
        <v>63</v>
      </c>
      <c r="L199" s="49">
        <f t="shared" si="8"/>
        <v>57</v>
      </c>
    </row>
    <row r="200" spans="1:12" ht="15.75" x14ac:dyDescent="0.25">
      <c r="A200" s="11">
        <v>2895</v>
      </c>
      <c r="B200" s="8"/>
      <c r="C200" s="9" t="s">
        <v>30</v>
      </c>
      <c r="D200" s="10">
        <v>84.924773880888907</v>
      </c>
      <c r="E200" s="12">
        <f>D200*(1-'[1]Discounts page'!D$10)</f>
        <v>46.708625634488904</v>
      </c>
      <c r="F200" s="10">
        <v>76.43229649280002</v>
      </c>
      <c r="G200" s="12">
        <f>F200*(1-'[1]Discounts page'!D$10)</f>
        <v>42.037763071040011</v>
      </c>
      <c r="H200" s="10">
        <v>72.18605779875557</v>
      </c>
      <c r="I200" s="12">
        <f>H200*(1-'[1]Discounts page'!D$10)</f>
        <v>39.702331789315565</v>
      </c>
      <c r="J200" s="47">
        <f t="shared" si="7"/>
        <v>75</v>
      </c>
      <c r="K200" s="48">
        <f t="shared" si="6"/>
        <v>66</v>
      </c>
      <c r="L200" s="49">
        <f t="shared" si="8"/>
        <v>60</v>
      </c>
    </row>
    <row r="201" spans="1:12" ht="15.75" x14ac:dyDescent="0.25">
      <c r="A201" s="11">
        <v>3050</v>
      </c>
      <c r="B201" s="8"/>
      <c r="C201" s="9" t="s">
        <v>30</v>
      </c>
      <c r="D201" s="10">
        <v>88.535254101333337</v>
      </c>
      <c r="E201" s="12">
        <f>D201*(1-'[1]Discounts page'!D$10)</f>
        <v>48.69438975573334</v>
      </c>
      <c r="F201" s="10">
        <v>79.681728691200007</v>
      </c>
      <c r="G201" s="12">
        <f>F201*(1-'[1]Discounts page'!D$10)</f>
        <v>43.824950780160009</v>
      </c>
      <c r="H201" s="10">
        <v>75.254965986133328</v>
      </c>
      <c r="I201" s="12">
        <f>H201*(1-'[1]Discounts page'!D$10)</f>
        <v>41.390231292373336</v>
      </c>
      <c r="J201" s="47">
        <f t="shared" si="7"/>
        <v>78</v>
      </c>
      <c r="K201" s="48">
        <f t="shared" ref="K201:K264" si="9">ROUNDUP(G201*1.55,0)</f>
        <v>68</v>
      </c>
      <c r="L201" s="49">
        <f t="shared" si="8"/>
        <v>63</v>
      </c>
    </row>
    <row r="202" spans="1:12" ht="15.75" x14ac:dyDescent="0.25">
      <c r="A202" s="11">
        <v>3200</v>
      </c>
      <c r="B202" s="8"/>
      <c r="C202" s="9" t="s">
        <v>30</v>
      </c>
      <c r="D202" s="10">
        <v>92.14573432177778</v>
      </c>
      <c r="E202" s="12">
        <f>D202*(1-'[1]Discounts page'!D$10)</f>
        <v>50.680153876977784</v>
      </c>
      <c r="F202" s="10">
        <v>82.931160889600008</v>
      </c>
      <c r="G202" s="12">
        <f>F202*(1-'[1]Discounts page'!D$10)</f>
        <v>45.612138489280007</v>
      </c>
      <c r="H202" s="10">
        <v>78.323874173511115</v>
      </c>
      <c r="I202" s="12">
        <f>H202*(1-'[1]Discounts page'!D$10)</f>
        <v>43.078130795431115</v>
      </c>
      <c r="J202" s="47">
        <f t="shared" ref="J202:J265" si="10">ROUNDUP(E202*1.6,0)</f>
        <v>82</v>
      </c>
      <c r="K202" s="48">
        <f t="shared" si="9"/>
        <v>71</v>
      </c>
      <c r="L202" s="49">
        <f t="shared" ref="L202:L265" si="11">ROUNDUP(I202*1.5,0)</f>
        <v>65</v>
      </c>
    </row>
    <row r="203" spans="1:12" ht="15.75" x14ac:dyDescent="0.25">
      <c r="A203" s="11">
        <v>3355</v>
      </c>
      <c r="B203" s="8"/>
      <c r="C203" s="9" t="s">
        <v>30</v>
      </c>
      <c r="D203" s="10">
        <v>95.913191943111116</v>
      </c>
      <c r="E203" s="12">
        <f>D203*(1-'[1]Discounts page'!D$10)</f>
        <v>52.752255568711121</v>
      </c>
      <c r="F203" s="10">
        <v>86.321872748800004</v>
      </c>
      <c r="G203" s="12">
        <f>F203*(1-'[1]Discounts page'!D$10)</f>
        <v>47.477030011840007</v>
      </c>
      <c r="H203" s="10">
        <v>81.526213151644441</v>
      </c>
      <c r="I203" s="12">
        <f>H203*(1-'[1]Discounts page'!D$10)</f>
        <v>44.839417233404447</v>
      </c>
      <c r="J203" s="47">
        <f t="shared" si="10"/>
        <v>85</v>
      </c>
      <c r="K203" s="48">
        <f t="shared" si="9"/>
        <v>74</v>
      </c>
      <c r="L203" s="49">
        <f t="shared" si="11"/>
        <v>68</v>
      </c>
    </row>
    <row r="204" spans="1:12" ht="15.75" x14ac:dyDescent="0.25">
      <c r="A204" s="11">
        <v>3510</v>
      </c>
      <c r="B204" s="8"/>
      <c r="C204" s="9" t="s">
        <v>30</v>
      </c>
      <c r="D204" s="10">
        <v>99.366694762666683</v>
      </c>
      <c r="E204" s="12">
        <f>D204*(1-'[1]Discounts page'!D$10)</f>
        <v>54.651682119466678</v>
      </c>
      <c r="F204" s="10">
        <v>89.43002528640001</v>
      </c>
      <c r="G204" s="12">
        <f>F204*(1-'[1]Discounts page'!D$10)</f>
        <v>49.186513907520009</v>
      </c>
      <c r="H204" s="10">
        <v>84.461690548266674</v>
      </c>
      <c r="I204" s="12">
        <f>H204*(1-'[1]Discounts page'!D$10)</f>
        <v>46.453929801546671</v>
      </c>
      <c r="J204" s="47">
        <f t="shared" si="10"/>
        <v>88</v>
      </c>
      <c r="K204" s="48">
        <f t="shared" si="9"/>
        <v>77</v>
      </c>
      <c r="L204" s="49">
        <f t="shared" si="11"/>
        <v>70</v>
      </c>
    </row>
    <row r="205" spans="1:12" ht="15.75" x14ac:dyDescent="0.25">
      <c r="A205" s="11">
        <v>3660</v>
      </c>
      <c r="B205" s="8"/>
      <c r="C205" s="9" t="s">
        <v>30</v>
      </c>
      <c r="D205" s="10">
        <v>103.29112978488888</v>
      </c>
      <c r="E205" s="12">
        <f>D205*(1-'[1]Discounts page'!D$10)</f>
        <v>56.810121381688887</v>
      </c>
      <c r="F205" s="10">
        <v>92.962016806400001</v>
      </c>
      <c r="G205" s="12">
        <f>F205*(1-'[1]Discounts page'!D$10)</f>
        <v>51.129109243520006</v>
      </c>
      <c r="H205" s="10">
        <v>87.79746031715554</v>
      </c>
      <c r="I205" s="12">
        <f>H205*(1-'[1]Discounts page'!D$10)</f>
        <v>48.288603174435551</v>
      </c>
      <c r="J205" s="47">
        <f t="shared" si="10"/>
        <v>91</v>
      </c>
      <c r="K205" s="48">
        <f t="shared" si="9"/>
        <v>80</v>
      </c>
      <c r="L205" s="49">
        <f t="shared" si="11"/>
        <v>73</v>
      </c>
    </row>
    <row r="206" spans="1:12" ht="15.75" x14ac:dyDescent="0.25">
      <c r="A206" s="11">
        <v>3810</v>
      </c>
      <c r="B206" s="8"/>
      <c r="C206" s="9" t="s">
        <v>30</v>
      </c>
      <c r="D206" s="10">
        <v>106.74463260444446</v>
      </c>
      <c r="E206" s="12">
        <f>D206*(1-'[1]Discounts page'!D$10)</f>
        <v>58.709547932444458</v>
      </c>
      <c r="F206" s="10">
        <v>96.070169344000021</v>
      </c>
      <c r="G206" s="12">
        <f>F206*(1-'[1]Discounts page'!D$10)</f>
        <v>52.838593139200015</v>
      </c>
      <c r="H206" s="10">
        <v>90.732937713777787</v>
      </c>
      <c r="I206" s="12">
        <f>H206*(1-'[1]Discounts page'!D$10)</f>
        <v>49.903115742577789</v>
      </c>
      <c r="J206" s="47">
        <f t="shared" si="10"/>
        <v>94</v>
      </c>
      <c r="K206" s="48">
        <f t="shared" si="9"/>
        <v>82</v>
      </c>
      <c r="L206" s="49">
        <f t="shared" si="11"/>
        <v>75</v>
      </c>
    </row>
    <row r="207" spans="1:12" ht="15.75" x14ac:dyDescent="0.25">
      <c r="A207" s="11">
        <v>3965</v>
      </c>
      <c r="B207" s="8"/>
      <c r="C207" s="9" t="s">
        <v>30</v>
      </c>
      <c r="D207" s="10">
        <v>110.82604502755555</v>
      </c>
      <c r="E207" s="12">
        <f>D207*(1-'[1]Discounts page'!D$10)</f>
        <v>60.954324765155555</v>
      </c>
      <c r="F207" s="10">
        <v>99.743440524799993</v>
      </c>
      <c r="G207" s="12">
        <f>F207*(1-'[1]Discounts page'!D$10)</f>
        <v>54.85889228864</v>
      </c>
      <c r="H207" s="10">
        <v>94.202138273422221</v>
      </c>
      <c r="I207" s="12">
        <f>H207*(1-'[1]Discounts page'!D$10)</f>
        <v>51.811176050382223</v>
      </c>
      <c r="J207" s="47">
        <f t="shared" si="10"/>
        <v>98</v>
      </c>
      <c r="K207" s="48">
        <f t="shared" si="9"/>
        <v>86</v>
      </c>
      <c r="L207" s="49">
        <f t="shared" si="11"/>
        <v>78</v>
      </c>
    </row>
    <row r="208" spans="1:12" ht="15.75" x14ac:dyDescent="0.25">
      <c r="A208" s="11">
        <v>4115</v>
      </c>
      <c r="B208" s="8"/>
      <c r="C208" s="9" t="s">
        <v>30</v>
      </c>
      <c r="D208" s="10">
        <v>114.27954784711113</v>
      </c>
      <c r="E208" s="12">
        <f>D208*(1-'[1]Discounts page'!D$10)</f>
        <v>62.853751315911126</v>
      </c>
      <c r="F208" s="10">
        <v>102.85159306240003</v>
      </c>
      <c r="G208" s="12">
        <f>F208*(1-'[1]Discounts page'!D$10)</f>
        <v>56.568376184320023</v>
      </c>
      <c r="H208" s="10">
        <v>97.137615670044454</v>
      </c>
      <c r="I208" s="12">
        <f>H208*(1-'[1]Discounts page'!D$10)</f>
        <v>53.425688618524454</v>
      </c>
      <c r="J208" s="47">
        <f t="shared" si="10"/>
        <v>101</v>
      </c>
      <c r="K208" s="48">
        <f t="shared" si="9"/>
        <v>88</v>
      </c>
      <c r="L208" s="49">
        <f t="shared" si="11"/>
        <v>81</v>
      </c>
    </row>
    <row r="209" spans="1:12" ht="15.75" x14ac:dyDescent="0.25">
      <c r="A209" s="11">
        <v>4270</v>
      </c>
      <c r="B209" s="8"/>
      <c r="C209" s="9" t="s">
        <v>30</v>
      </c>
      <c r="D209" s="10">
        <v>118.36096027022221</v>
      </c>
      <c r="E209" s="12">
        <f>D209*(1-'[1]Discounts page'!D$10)</f>
        <v>65.098528148622222</v>
      </c>
      <c r="F209" s="10">
        <v>106.52486424319999</v>
      </c>
      <c r="G209" s="12">
        <f>F209*(1-'[1]Discounts page'!D$10)</f>
        <v>58.588675333759994</v>
      </c>
      <c r="H209" s="10">
        <v>100.60681622968887</v>
      </c>
      <c r="I209" s="12">
        <f>H209*(1-'[1]Discounts page'!D$10)</f>
        <v>55.333748926328887</v>
      </c>
      <c r="J209" s="47">
        <f t="shared" si="10"/>
        <v>105</v>
      </c>
      <c r="K209" s="48">
        <f t="shared" si="9"/>
        <v>91</v>
      </c>
      <c r="L209" s="49">
        <f t="shared" si="11"/>
        <v>84</v>
      </c>
    </row>
    <row r="210" spans="1:12" ht="15.75" x14ac:dyDescent="0.25">
      <c r="A210" s="11">
        <v>4420</v>
      </c>
      <c r="B210" s="8"/>
      <c r="C210" s="9" t="s">
        <v>30</v>
      </c>
      <c r="D210" s="10">
        <v>121.65748568888888</v>
      </c>
      <c r="E210" s="12">
        <f>D210*(1-'[1]Discounts page'!D$10)</f>
        <v>66.911617128888892</v>
      </c>
      <c r="F210" s="10">
        <v>109.49173712</v>
      </c>
      <c r="G210" s="12">
        <f>F210*(1-'[1]Discounts page'!D$10)</f>
        <v>60.220455416</v>
      </c>
      <c r="H210" s="10">
        <v>103.40886283555555</v>
      </c>
      <c r="I210" s="12">
        <f>H210*(1-'[1]Discounts page'!D$10)</f>
        <v>56.874874559555558</v>
      </c>
      <c r="J210" s="47">
        <f t="shared" si="10"/>
        <v>108</v>
      </c>
      <c r="K210" s="48">
        <f t="shared" si="9"/>
        <v>94</v>
      </c>
      <c r="L210" s="49">
        <f t="shared" si="11"/>
        <v>86</v>
      </c>
    </row>
    <row r="211" spans="1:12" ht="15.75" x14ac:dyDescent="0.25">
      <c r="A211" s="7" t="s">
        <v>34</v>
      </c>
      <c r="B211" s="8"/>
      <c r="C211" s="9"/>
      <c r="D211" s="10"/>
      <c r="E211" s="12"/>
      <c r="F211" s="10"/>
      <c r="G211" s="12"/>
      <c r="H211" s="10"/>
      <c r="I211" s="12"/>
      <c r="J211" s="47">
        <f t="shared" si="10"/>
        <v>0</v>
      </c>
      <c r="K211" s="48">
        <f t="shared" si="9"/>
        <v>0</v>
      </c>
      <c r="L211" s="49">
        <f t="shared" si="11"/>
        <v>0</v>
      </c>
    </row>
    <row r="212" spans="1:12" ht="15.75" x14ac:dyDescent="0.25">
      <c r="A212" s="11">
        <v>1525</v>
      </c>
      <c r="B212" s="8"/>
      <c r="C212" s="9" t="s">
        <v>30</v>
      </c>
      <c r="D212" s="10">
        <v>33.122231587555554</v>
      </c>
      <c r="E212" s="12">
        <f>D212*(1-'[1]Discounts page'!D$10)</f>
        <v>18.217227373155556</v>
      </c>
      <c r="F212" s="10">
        <v>29.8100084288</v>
      </c>
      <c r="G212" s="12">
        <f>F212*(1-'[1]Discounts page'!D$10)</f>
        <v>16.395504635840002</v>
      </c>
      <c r="H212" s="10">
        <v>28.153896849422221</v>
      </c>
      <c r="I212" s="12">
        <f>H212*(1-'[1]Discounts page'!D$10)</f>
        <v>15.484643267182223</v>
      </c>
      <c r="J212" s="47">
        <f t="shared" si="10"/>
        <v>30</v>
      </c>
      <c r="K212" s="48">
        <f t="shared" si="9"/>
        <v>26</v>
      </c>
      <c r="L212" s="49">
        <f t="shared" si="11"/>
        <v>24</v>
      </c>
    </row>
    <row r="213" spans="1:12" ht="15.75" x14ac:dyDescent="0.25">
      <c r="A213" s="11">
        <v>1680</v>
      </c>
      <c r="B213" s="8"/>
      <c r="C213" s="9" t="s">
        <v>30</v>
      </c>
      <c r="D213" s="10">
        <v>33.122231587555554</v>
      </c>
      <c r="E213" s="12">
        <f>D213*(1-'[1]Discounts page'!D$10)</f>
        <v>18.217227373155556</v>
      </c>
      <c r="F213" s="10">
        <v>29.8100084288</v>
      </c>
      <c r="G213" s="12">
        <f>F213*(1-'[1]Discounts page'!D$10)</f>
        <v>16.395504635840002</v>
      </c>
      <c r="H213" s="10">
        <v>28.153896849422221</v>
      </c>
      <c r="I213" s="12">
        <f>H213*(1-'[1]Discounts page'!D$10)</f>
        <v>15.484643267182223</v>
      </c>
      <c r="J213" s="47">
        <f t="shared" si="10"/>
        <v>30</v>
      </c>
      <c r="K213" s="48">
        <f t="shared" si="9"/>
        <v>26</v>
      </c>
      <c r="L213" s="49">
        <f t="shared" si="11"/>
        <v>24</v>
      </c>
    </row>
    <row r="214" spans="1:12" ht="15.75" x14ac:dyDescent="0.25">
      <c r="A214" s="11">
        <v>1830</v>
      </c>
      <c r="B214" s="8"/>
      <c r="C214" s="9" t="s">
        <v>30</v>
      </c>
      <c r="D214" s="10">
        <v>33.122231587555554</v>
      </c>
      <c r="E214" s="12">
        <f>D214*(1-'[1]Discounts page'!D$10)</f>
        <v>18.217227373155556</v>
      </c>
      <c r="F214" s="10">
        <v>29.8100084288</v>
      </c>
      <c r="G214" s="12">
        <f>F214*(1-'[1]Discounts page'!D$10)</f>
        <v>16.395504635840002</v>
      </c>
      <c r="H214" s="10">
        <v>28.153896849422221</v>
      </c>
      <c r="I214" s="12">
        <f>H214*(1-'[1]Discounts page'!D$10)</f>
        <v>15.484643267182223</v>
      </c>
      <c r="J214" s="47">
        <f t="shared" si="10"/>
        <v>30</v>
      </c>
      <c r="K214" s="48">
        <f t="shared" si="9"/>
        <v>26</v>
      </c>
      <c r="L214" s="49">
        <f t="shared" si="11"/>
        <v>24</v>
      </c>
    </row>
    <row r="215" spans="1:12" ht="15.75" x14ac:dyDescent="0.25">
      <c r="A215" s="11">
        <v>1985</v>
      </c>
      <c r="B215" s="8"/>
      <c r="C215" s="9" t="s">
        <v>30</v>
      </c>
      <c r="D215" s="10">
        <v>33.122231587555554</v>
      </c>
      <c r="E215" s="12">
        <f>D215*(1-'[1]Discounts page'!D$10)</f>
        <v>18.217227373155556</v>
      </c>
      <c r="F215" s="10">
        <v>29.8100084288</v>
      </c>
      <c r="G215" s="12">
        <f>F215*(1-'[1]Discounts page'!D$10)</f>
        <v>16.395504635840002</v>
      </c>
      <c r="H215" s="10">
        <v>28.153896849422221</v>
      </c>
      <c r="I215" s="12">
        <f>H215*(1-'[1]Discounts page'!D$10)</f>
        <v>15.484643267182223</v>
      </c>
      <c r="J215" s="47">
        <f t="shared" si="10"/>
        <v>30</v>
      </c>
      <c r="K215" s="48">
        <f t="shared" si="9"/>
        <v>26</v>
      </c>
      <c r="L215" s="49">
        <f t="shared" si="11"/>
        <v>24</v>
      </c>
    </row>
    <row r="216" spans="1:12" ht="15.75" x14ac:dyDescent="0.25">
      <c r="A216" s="11">
        <v>2135</v>
      </c>
      <c r="B216" s="8"/>
      <c r="C216" s="9" t="s">
        <v>30</v>
      </c>
      <c r="D216" s="10">
        <v>33.122231587555554</v>
      </c>
      <c r="E216" s="12">
        <f>D216*(1-'[1]Discounts page'!D$10)</f>
        <v>18.217227373155556</v>
      </c>
      <c r="F216" s="10">
        <v>29.8100084288</v>
      </c>
      <c r="G216" s="12">
        <f>F216*(1-'[1]Discounts page'!D$10)</f>
        <v>16.395504635840002</v>
      </c>
      <c r="H216" s="10">
        <v>28.153896849422221</v>
      </c>
      <c r="I216" s="12">
        <f>H216*(1-'[1]Discounts page'!D$10)</f>
        <v>15.484643267182223</v>
      </c>
      <c r="J216" s="47">
        <f t="shared" si="10"/>
        <v>30</v>
      </c>
      <c r="K216" s="48">
        <f t="shared" si="9"/>
        <v>26</v>
      </c>
      <c r="L216" s="49">
        <f t="shared" si="11"/>
        <v>24</v>
      </c>
    </row>
    <row r="217" spans="1:12" ht="15.75" x14ac:dyDescent="0.25">
      <c r="A217" s="11">
        <v>2290</v>
      </c>
      <c r="B217" s="8"/>
      <c r="C217" s="9" t="s">
        <v>30</v>
      </c>
      <c r="D217" s="10">
        <v>33.122231587555554</v>
      </c>
      <c r="E217" s="12">
        <f>D217*(1-'[1]Discounts page'!D$10)</f>
        <v>18.217227373155556</v>
      </c>
      <c r="F217" s="10">
        <v>29.8100084288</v>
      </c>
      <c r="G217" s="12">
        <f>F217*(1-'[1]Discounts page'!D$10)</f>
        <v>16.395504635840002</v>
      </c>
      <c r="H217" s="10">
        <v>28.153896849422221</v>
      </c>
      <c r="I217" s="12">
        <f>H217*(1-'[1]Discounts page'!D$10)</f>
        <v>15.484643267182223</v>
      </c>
      <c r="J217" s="47">
        <f t="shared" si="10"/>
        <v>30</v>
      </c>
      <c r="K217" s="48">
        <f t="shared" si="9"/>
        <v>26</v>
      </c>
      <c r="L217" s="49">
        <f t="shared" si="11"/>
        <v>24</v>
      </c>
    </row>
    <row r="218" spans="1:12" ht="15.75" x14ac:dyDescent="0.25">
      <c r="A218" s="11">
        <v>2440</v>
      </c>
      <c r="B218" s="8"/>
      <c r="C218" s="9" t="s">
        <v>30</v>
      </c>
      <c r="D218" s="10">
        <v>33.122231587555554</v>
      </c>
      <c r="E218" s="12">
        <f>D218*(1-'[1]Discounts page'!D$10)</f>
        <v>18.217227373155556</v>
      </c>
      <c r="F218" s="10">
        <v>29.8100084288</v>
      </c>
      <c r="G218" s="12">
        <f>F218*(1-'[1]Discounts page'!D$10)</f>
        <v>16.395504635840002</v>
      </c>
      <c r="H218" s="10">
        <v>28.153896849422221</v>
      </c>
      <c r="I218" s="12">
        <f>H218*(1-'[1]Discounts page'!D$10)</f>
        <v>15.484643267182223</v>
      </c>
      <c r="J218" s="47">
        <f t="shared" si="10"/>
        <v>30</v>
      </c>
      <c r="K218" s="48">
        <f t="shared" si="9"/>
        <v>26</v>
      </c>
      <c r="L218" s="49">
        <f t="shared" si="11"/>
        <v>24</v>
      </c>
    </row>
    <row r="219" spans="1:12" ht="15.75" x14ac:dyDescent="0.25">
      <c r="A219" s="11">
        <v>2590</v>
      </c>
      <c r="B219" s="8"/>
      <c r="C219" s="9" t="s">
        <v>30</v>
      </c>
      <c r="D219" s="10">
        <v>36.418757006222229</v>
      </c>
      <c r="E219" s="12">
        <f>D219*(1-'[1]Discounts page'!D$10)</f>
        <v>20.030316353422229</v>
      </c>
      <c r="F219" s="10">
        <v>32.776881305600007</v>
      </c>
      <c r="G219" s="12">
        <f>F219*(1-'[1]Discounts page'!D$10)</f>
        <v>18.027284718080004</v>
      </c>
      <c r="H219" s="10">
        <v>30.955943455288892</v>
      </c>
      <c r="I219" s="12">
        <f>H219*(1-'[1]Discounts page'!D$10)</f>
        <v>17.025768900408892</v>
      </c>
      <c r="J219" s="47">
        <f t="shared" si="10"/>
        <v>33</v>
      </c>
      <c r="K219" s="48">
        <f t="shared" si="9"/>
        <v>28</v>
      </c>
      <c r="L219" s="49">
        <f t="shared" si="11"/>
        <v>26</v>
      </c>
    </row>
    <row r="220" spans="1:12" ht="15.75" x14ac:dyDescent="0.25">
      <c r="A220" s="11">
        <v>2745</v>
      </c>
      <c r="B220" s="8"/>
      <c r="C220" s="9" t="s">
        <v>30</v>
      </c>
      <c r="D220" s="10">
        <v>39.401327623111122</v>
      </c>
      <c r="E220" s="12">
        <f>D220*(1-'[1]Discounts page'!D$10)</f>
        <v>21.670730192711119</v>
      </c>
      <c r="F220" s="10">
        <v>35.461194860800013</v>
      </c>
      <c r="G220" s="12">
        <f>F220*(1-'[1]Discounts page'!D$10)</f>
        <v>19.503657173440008</v>
      </c>
      <c r="H220" s="10">
        <v>33.491128479644452</v>
      </c>
      <c r="I220" s="12">
        <f>H220*(1-'[1]Discounts page'!D$10)</f>
        <v>18.42012066380445</v>
      </c>
      <c r="J220" s="47">
        <f t="shared" si="10"/>
        <v>35</v>
      </c>
      <c r="K220" s="48">
        <f t="shared" si="9"/>
        <v>31</v>
      </c>
      <c r="L220" s="49">
        <f t="shared" si="11"/>
        <v>28</v>
      </c>
    </row>
    <row r="221" spans="1:12" ht="15.75" x14ac:dyDescent="0.25">
      <c r="A221" s="11">
        <v>2895</v>
      </c>
      <c r="B221" s="8"/>
      <c r="C221" s="9" t="s">
        <v>30</v>
      </c>
      <c r="D221" s="10">
        <v>42.069943438222232</v>
      </c>
      <c r="E221" s="12">
        <f>D221*(1-'[1]Discounts page'!D$10)</f>
        <v>23.138468891022228</v>
      </c>
      <c r="F221" s="10">
        <v>37.862949094400008</v>
      </c>
      <c r="G221" s="12">
        <f>F221*(1-'[1]Discounts page'!D$10)</f>
        <v>20.824622001920005</v>
      </c>
      <c r="H221" s="10">
        <v>35.7594519224889</v>
      </c>
      <c r="I221" s="12">
        <f>H221*(1-'[1]Discounts page'!D$10)</f>
        <v>19.667698557368897</v>
      </c>
      <c r="J221" s="47">
        <f t="shared" si="10"/>
        <v>38</v>
      </c>
      <c r="K221" s="48">
        <f t="shared" si="9"/>
        <v>33</v>
      </c>
      <c r="L221" s="49">
        <f t="shared" si="11"/>
        <v>30</v>
      </c>
    </row>
    <row r="222" spans="1:12" ht="15.75" x14ac:dyDescent="0.25">
      <c r="A222" s="11">
        <v>3050</v>
      </c>
      <c r="B222" s="8"/>
      <c r="C222" s="9" t="s">
        <v>30</v>
      </c>
      <c r="D222" s="10">
        <v>43.482740046222233</v>
      </c>
      <c r="E222" s="12">
        <f>D222*(1-'[1]Discounts page'!D$10)</f>
        <v>23.91550702542223</v>
      </c>
      <c r="F222" s="10">
        <v>39.134466041600014</v>
      </c>
      <c r="G222" s="12">
        <f>F222*(1-'[1]Discounts page'!D$10)</f>
        <v>21.523956322880011</v>
      </c>
      <c r="H222" s="10">
        <v>36.960329039288894</v>
      </c>
      <c r="I222" s="12">
        <f>H222*(1-'[1]Discounts page'!D$10)</f>
        <v>20.328180971608894</v>
      </c>
      <c r="J222" s="47">
        <f t="shared" si="10"/>
        <v>39</v>
      </c>
      <c r="K222" s="48">
        <f t="shared" si="9"/>
        <v>34</v>
      </c>
      <c r="L222" s="49">
        <f t="shared" si="11"/>
        <v>31</v>
      </c>
    </row>
    <row r="223" spans="1:12" ht="15.75" x14ac:dyDescent="0.25">
      <c r="A223" s="11">
        <v>3200</v>
      </c>
      <c r="B223" s="8"/>
      <c r="C223" s="9" t="s">
        <v>30</v>
      </c>
      <c r="D223" s="10">
        <v>45.837401059555567</v>
      </c>
      <c r="E223" s="12">
        <f>D223*(1-'[1]Discounts page'!D$10)</f>
        <v>25.210570582755565</v>
      </c>
      <c r="F223" s="10">
        <v>41.253660953600011</v>
      </c>
      <c r="G223" s="12">
        <f>F223*(1-'[1]Discounts page'!D$10)</f>
        <v>22.689513524480009</v>
      </c>
      <c r="H223" s="10">
        <v>38.961790900622233</v>
      </c>
      <c r="I223" s="12">
        <f>H223*(1-'[1]Discounts page'!D$10)</f>
        <v>21.42898499534223</v>
      </c>
      <c r="J223" s="47">
        <f t="shared" si="10"/>
        <v>41</v>
      </c>
      <c r="K223" s="48">
        <f t="shared" si="9"/>
        <v>36</v>
      </c>
      <c r="L223" s="49">
        <f t="shared" si="11"/>
        <v>33</v>
      </c>
    </row>
    <row r="224" spans="1:12" ht="15.75" x14ac:dyDescent="0.25">
      <c r="A224" s="11">
        <v>3355</v>
      </c>
      <c r="B224" s="8"/>
      <c r="C224" s="9" t="s">
        <v>30</v>
      </c>
      <c r="D224" s="10">
        <v>46.936242865777778</v>
      </c>
      <c r="E224" s="12">
        <f>D224*(1-'[1]Discounts page'!D$10)</f>
        <v>25.814933576177779</v>
      </c>
      <c r="F224" s="10">
        <v>42.242618579199998</v>
      </c>
      <c r="G224" s="12">
        <f>F224*(1-'[1]Discounts page'!D$10)</f>
        <v>23.233440218560002</v>
      </c>
      <c r="H224" s="10">
        <v>39.895806435911112</v>
      </c>
      <c r="I224" s="12">
        <f>H224*(1-'[1]Discounts page'!D$10)</f>
        <v>21.942693539751112</v>
      </c>
      <c r="J224" s="47">
        <f t="shared" si="10"/>
        <v>42</v>
      </c>
      <c r="K224" s="48">
        <f t="shared" si="9"/>
        <v>37</v>
      </c>
      <c r="L224" s="49">
        <f t="shared" si="11"/>
        <v>33</v>
      </c>
    </row>
    <row r="225" spans="1:12" ht="15.75" x14ac:dyDescent="0.25">
      <c r="A225" s="11">
        <v>3510</v>
      </c>
      <c r="B225" s="8"/>
      <c r="C225" s="9" t="s">
        <v>30</v>
      </c>
      <c r="D225" s="10">
        <v>49.447881280000004</v>
      </c>
      <c r="E225" s="12">
        <f>D225*(1-'[1]Discounts page'!D$10)</f>
        <v>27.196334704000005</v>
      </c>
      <c r="F225" s="10">
        <v>44.503093152000005</v>
      </c>
      <c r="G225" s="12">
        <f>F225*(1-'[1]Discounts page'!D$10)</f>
        <v>24.476701233600004</v>
      </c>
      <c r="H225" s="10">
        <v>42.030699088000006</v>
      </c>
      <c r="I225" s="12">
        <f>H225*(1-'[1]Discounts page'!D$10)</f>
        <v>23.116884498400005</v>
      </c>
      <c r="J225" s="47">
        <f t="shared" si="10"/>
        <v>44</v>
      </c>
      <c r="K225" s="48">
        <f t="shared" si="9"/>
        <v>38</v>
      </c>
      <c r="L225" s="49">
        <f t="shared" si="11"/>
        <v>35</v>
      </c>
    </row>
    <row r="226" spans="1:12" ht="15.75" x14ac:dyDescent="0.25">
      <c r="A226" s="11">
        <v>3660</v>
      </c>
      <c r="B226" s="8"/>
      <c r="C226" s="9" t="s">
        <v>30</v>
      </c>
      <c r="D226" s="10">
        <v>52.901384099555564</v>
      </c>
      <c r="E226" s="12">
        <f>D226*(1-'[1]Discounts page'!D$10)</f>
        <v>29.095761254755562</v>
      </c>
      <c r="F226" s="10">
        <v>47.611245689600011</v>
      </c>
      <c r="G226" s="12">
        <f>F226*(1-'[1]Discounts page'!D$10)</f>
        <v>26.186185129280009</v>
      </c>
      <c r="H226" s="10">
        <v>44.966176484622231</v>
      </c>
      <c r="I226" s="12">
        <f>H226*(1-'[1]Discounts page'!D$10)</f>
        <v>24.731397066542229</v>
      </c>
      <c r="J226" s="47">
        <f t="shared" si="10"/>
        <v>47</v>
      </c>
      <c r="K226" s="48">
        <f t="shared" si="9"/>
        <v>41</v>
      </c>
      <c r="L226" s="49">
        <f t="shared" si="11"/>
        <v>38</v>
      </c>
    </row>
    <row r="227" spans="1:12" ht="15.75" x14ac:dyDescent="0.25">
      <c r="A227" s="11">
        <v>3810</v>
      </c>
      <c r="B227" s="8"/>
      <c r="C227" s="9" t="s">
        <v>30</v>
      </c>
      <c r="D227" s="10">
        <v>56.040932117333341</v>
      </c>
      <c r="E227" s="12">
        <f>D227*(1-'[1]Discounts page'!D$10)</f>
        <v>30.822512664533342</v>
      </c>
      <c r="F227" s="10">
        <v>50.436838905600005</v>
      </c>
      <c r="G227" s="12">
        <f>F227*(1-'[1]Discounts page'!D$10)</f>
        <v>27.740261398080005</v>
      </c>
      <c r="H227" s="10">
        <v>47.634792299733341</v>
      </c>
      <c r="I227" s="12">
        <f>H227*(1-'[1]Discounts page'!D$10)</f>
        <v>26.199135764853338</v>
      </c>
      <c r="J227" s="47">
        <f t="shared" si="10"/>
        <v>50</v>
      </c>
      <c r="K227" s="48">
        <f t="shared" si="9"/>
        <v>43</v>
      </c>
      <c r="L227" s="49">
        <f t="shared" si="11"/>
        <v>40</v>
      </c>
    </row>
    <row r="228" spans="1:12" ht="15.75" x14ac:dyDescent="0.25">
      <c r="A228" s="11">
        <v>3965</v>
      </c>
      <c r="B228" s="8"/>
      <c r="C228" s="9" t="s">
        <v>30</v>
      </c>
      <c r="D228" s="10">
        <v>58.866525333333335</v>
      </c>
      <c r="E228" s="12">
        <f>D228*(1-'[1]Discounts page'!D$10)</f>
        <v>32.376588933333338</v>
      </c>
      <c r="F228" s="10">
        <v>52.979872800000003</v>
      </c>
      <c r="G228" s="12">
        <f>F228*(1-'[1]Discounts page'!D$10)</f>
        <v>29.138930040000005</v>
      </c>
      <c r="H228" s="10">
        <v>50.036546533333336</v>
      </c>
      <c r="I228" s="12">
        <f>H228*(1-'[1]Discounts page'!D$10)</f>
        <v>27.520100593333336</v>
      </c>
      <c r="J228" s="47">
        <f t="shared" si="10"/>
        <v>52</v>
      </c>
      <c r="K228" s="48">
        <f t="shared" si="9"/>
        <v>46</v>
      </c>
      <c r="L228" s="49">
        <f t="shared" si="11"/>
        <v>42</v>
      </c>
    </row>
    <row r="229" spans="1:12" ht="15.75" x14ac:dyDescent="0.25">
      <c r="A229" s="11">
        <v>4115</v>
      </c>
      <c r="B229" s="8"/>
      <c r="C229" s="9" t="s">
        <v>30</v>
      </c>
      <c r="D229" s="10">
        <v>61.064208945777786</v>
      </c>
      <c r="E229" s="12">
        <f>D229*(1-'[1]Discounts page'!D$10)</f>
        <v>33.585314920177787</v>
      </c>
      <c r="F229" s="10">
        <v>54.957788051200005</v>
      </c>
      <c r="G229" s="12">
        <f>F229*(1-'[1]Discounts page'!D$10)</f>
        <v>30.226783428160005</v>
      </c>
      <c r="H229" s="10">
        <v>51.904577603911115</v>
      </c>
      <c r="I229" s="12">
        <f>H229*(1-'[1]Discounts page'!D$10)</f>
        <v>28.547517682151117</v>
      </c>
      <c r="J229" s="47">
        <f t="shared" si="10"/>
        <v>54</v>
      </c>
      <c r="K229" s="48">
        <f t="shared" si="9"/>
        <v>47</v>
      </c>
      <c r="L229" s="49">
        <f t="shared" si="11"/>
        <v>43</v>
      </c>
    </row>
    <row r="230" spans="1:12" ht="15.75" x14ac:dyDescent="0.25">
      <c r="A230" s="11">
        <v>4270</v>
      </c>
      <c r="B230" s="8"/>
      <c r="C230" s="9" t="s">
        <v>30</v>
      </c>
      <c r="D230" s="10">
        <v>63.261892558222236</v>
      </c>
      <c r="E230" s="12">
        <f>D230*(1-'[1]Discounts page'!D$10)</f>
        <v>34.794040907022236</v>
      </c>
      <c r="F230" s="10">
        <v>56.935703302400015</v>
      </c>
      <c r="G230" s="12">
        <f>F230*(1-'[1]Discounts page'!D$10)</f>
        <v>31.314636816320011</v>
      </c>
      <c r="H230" s="10">
        <v>53.7726086744889</v>
      </c>
      <c r="I230" s="12">
        <f>H230*(1-'[1]Discounts page'!D$10)</f>
        <v>29.574934770968898</v>
      </c>
      <c r="J230" s="47">
        <f t="shared" si="10"/>
        <v>56</v>
      </c>
      <c r="K230" s="48">
        <f t="shared" si="9"/>
        <v>49</v>
      </c>
      <c r="L230" s="49">
        <f t="shared" si="11"/>
        <v>45</v>
      </c>
    </row>
    <row r="231" spans="1:12" ht="15.75" x14ac:dyDescent="0.25">
      <c r="A231" s="11">
        <v>4420</v>
      </c>
      <c r="B231" s="8"/>
      <c r="C231" s="9" t="s">
        <v>30</v>
      </c>
      <c r="D231" s="10">
        <v>64.831666567111128</v>
      </c>
      <c r="E231" s="12">
        <f>D231*(1-'[1]Discounts page'!D$10)</f>
        <v>35.657416611911124</v>
      </c>
      <c r="F231" s="10">
        <v>58.348499910400015</v>
      </c>
      <c r="G231" s="12">
        <f>F231*(1-'[1]Discounts page'!D$10)</f>
        <v>32.091674950720012</v>
      </c>
      <c r="H231" s="10">
        <v>55.106916582044455</v>
      </c>
      <c r="I231" s="12">
        <f>H231*(1-'[1]Discounts page'!D$10)</f>
        <v>30.308804120124453</v>
      </c>
      <c r="J231" s="47">
        <f t="shared" si="10"/>
        <v>58</v>
      </c>
      <c r="K231" s="48">
        <f t="shared" si="9"/>
        <v>50</v>
      </c>
      <c r="L231" s="49">
        <f t="shared" si="11"/>
        <v>46</v>
      </c>
    </row>
    <row r="232" spans="1:12" ht="15.75" x14ac:dyDescent="0.25">
      <c r="A232" s="11">
        <v>4575</v>
      </c>
      <c r="B232" s="8"/>
      <c r="C232" s="9" t="s">
        <v>30</v>
      </c>
      <c r="D232" s="10">
        <v>66.715395377777782</v>
      </c>
      <c r="E232" s="12">
        <f>D232*(1-'[1]Discounts page'!D$10)</f>
        <v>36.693467457777786</v>
      </c>
      <c r="F232" s="10">
        <v>60.043855840000006</v>
      </c>
      <c r="G232" s="12">
        <f>F232*(1-'[1]Discounts page'!D$10)</f>
        <v>33.024120712000006</v>
      </c>
      <c r="H232" s="10">
        <v>56.708086071111111</v>
      </c>
      <c r="I232" s="12">
        <f>H232*(1-'[1]Discounts page'!D$10)</f>
        <v>31.189447339111116</v>
      </c>
      <c r="J232" s="47">
        <f t="shared" si="10"/>
        <v>59</v>
      </c>
      <c r="K232" s="48">
        <f t="shared" si="9"/>
        <v>52</v>
      </c>
      <c r="L232" s="49">
        <f t="shared" si="11"/>
        <v>47</v>
      </c>
    </row>
    <row r="233" spans="1:12" ht="15.75" x14ac:dyDescent="0.25">
      <c r="A233" s="11">
        <v>4880</v>
      </c>
      <c r="B233" s="8"/>
      <c r="C233" s="9" t="s">
        <v>30</v>
      </c>
      <c r="D233" s="10">
        <v>70.325875598222225</v>
      </c>
      <c r="E233" s="12">
        <f>D233*(1-'[1]Discounts page'!D$10)</f>
        <v>38.679231579022229</v>
      </c>
      <c r="F233" s="10">
        <v>63.293288038400007</v>
      </c>
      <c r="G233" s="12">
        <f>F233*(1-'[1]Discounts page'!D$10)</f>
        <v>34.811308421120003</v>
      </c>
      <c r="H233" s="10">
        <v>59.776994258488891</v>
      </c>
      <c r="I233" s="12">
        <f>H233*(1-'[1]Discounts page'!D$10)</f>
        <v>32.87734684216889</v>
      </c>
      <c r="J233" s="47">
        <f t="shared" si="10"/>
        <v>62</v>
      </c>
      <c r="K233" s="48">
        <f t="shared" si="9"/>
        <v>54</v>
      </c>
      <c r="L233" s="49">
        <f t="shared" si="11"/>
        <v>50</v>
      </c>
    </row>
    <row r="234" spans="1:12" ht="15.75" x14ac:dyDescent="0.25">
      <c r="A234" s="11">
        <v>5185</v>
      </c>
      <c r="B234" s="8"/>
      <c r="C234" s="9" t="s">
        <v>30</v>
      </c>
      <c r="D234" s="10">
        <v>73.936355818666684</v>
      </c>
      <c r="E234" s="12">
        <f>D234*(1-'[1]Discounts page'!D$10)</f>
        <v>40.66499570026668</v>
      </c>
      <c r="F234" s="10">
        <v>66.542720236800022</v>
      </c>
      <c r="G234" s="12">
        <f>F234*(1-'[1]Discounts page'!D$10)</f>
        <v>36.598496130240015</v>
      </c>
      <c r="H234" s="10">
        <v>62.845902445866678</v>
      </c>
      <c r="I234" s="12">
        <f>H234*(1-'[1]Discounts page'!D$10)</f>
        <v>34.565246345226676</v>
      </c>
      <c r="J234" s="47">
        <f t="shared" si="10"/>
        <v>66</v>
      </c>
      <c r="K234" s="48">
        <f t="shared" si="9"/>
        <v>57</v>
      </c>
      <c r="L234" s="49">
        <f t="shared" si="11"/>
        <v>52</v>
      </c>
    </row>
    <row r="235" spans="1:12" ht="15.75" x14ac:dyDescent="0.25">
      <c r="A235" s="11">
        <v>5490</v>
      </c>
      <c r="B235" s="8"/>
      <c r="C235" s="9" t="s">
        <v>30</v>
      </c>
      <c r="D235" s="10">
        <v>77.703813440000005</v>
      </c>
      <c r="E235" s="12">
        <f>D235*(1-'[1]Discounts page'!D$10)</f>
        <v>42.737097392000003</v>
      </c>
      <c r="F235" s="10">
        <v>69.933432096000004</v>
      </c>
      <c r="G235" s="12">
        <f>F235*(1-'[1]Discounts page'!D$10)</f>
        <v>38.463387652800009</v>
      </c>
      <c r="H235" s="10">
        <v>66.048241423999997</v>
      </c>
      <c r="I235" s="12">
        <f>H235*(1-'[1]Discounts page'!D$10)</f>
        <v>36.326532783200001</v>
      </c>
      <c r="J235" s="47">
        <f t="shared" si="10"/>
        <v>69</v>
      </c>
      <c r="K235" s="48">
        <f t="shared" si="9"/>
        <v>60</v>
      </c>
      <c r="L235" s="49">
        <f t="shared" si="11"/>
        <v>55</v>
      </c>
    </row>
    <row r="236" spans="1:12" ht="15.75" x14ac:dyDescent="0.25">
      <c r="A236" s="11">
        <v>5795</v>
      </c>
      <c r="B236" s="8"/>
      <c r="C236" s="9" t="s">
        <v>30</v>
      </c>
      <c r="D236" s="10">
        <v>81.157316259555557</v>
      </c>
      <c r="E236" s="12">
        <f>D236*(1-'[1]Discounts page'!D$10)</f>
        <v>44.636523942755559</v>
      </c>
      <c r="F236" s="10">
        <v>73.04158463360001</v>
      </c>
      <c r="G236" s="12">
        <f>F236*(1-'[1]Discounts page'!D$10)</f>
        <v>40.172871548480011</v>
      </c>
      <c r="H236" s="10">
        <v>68.983718820622215</v>
      </c>
      <c r="I236" s="12">
        <f>H236*(1-'[1]Discounts page'!D$10)</f>
        <v>37.941045351342218</v>
      </c>
      <c r="J236" s="47">
        <f t="shared" si="10"/>
        <v>72</v>
      </c>
      <c r="K236" s="48">
        <f t="shared" si="9"/>
        <v>63</v>
      </c>
      <c r="L236" s="49">
        <f t="shared" si="11"/>
        <v>57</v>
      </c>
    </row>
    <row r="237" spans="1:12" ht="15.75" x14ac:dyDescent="0.25">
      <c r="A237" s="11">
        <v>6100</v>
      </c>
      <c r="B237" s="8"/>
      <c r="C237" s="9" t="s">
        <v>30</v>
      </c>
      <c r="D237" s="10">
        <v>84.924773880888907</v>
      </c>
      <c r="E237" s="12">
        <f>D237*(1-'[1]Discounts page'!D$10)</f>
        <v>46.708625634488904</v>
      </c>
      <c r="F237" s="10">
        <v>76.43229649280002</v>
      </c>
      <c r="G237" s="12">
        <f>F237*(1-'[1]Discounts page'!D$10)</f>
        <v>42.037763071040011</v>
      </c>
      <c r="H237" s="10">
        <v>72.18605779875557</v>
      </c>
      <c r="I237" s="12">
        <f>H237*(1-'[1]Discounts page'!D$10)</f>
        <v>39.702331789315565</v>
      </c>
      <c r="J237" s="47">
        <f t="shared" si="10"/>
        <v>75</v>
      </c>
      <c r="K237" s="48">
        <f t="shared" si="9"/>
        <v>66</v>
      </c>
      <c r="L237" s="49">
        <f t="shared" si="11"/>
        <v>60</v>
      </c>
    </row>
    <row r="238" spans="1:12" ht="15.75" x14ac:dyDescent="0.25">
      <c r="A238" s="7" t="s">
        <v>35</v>
      </c>
      <c r="B238" s="8"/>
      <c r="C238" s="9"/>
      <c r="D238" s="10"/>
      <c r="E238" s="12"/>
      <c r="F238" s="10"/>
      <c r="G238" s="12"/>
      <c r="H238" s="10"/>
      <c r="I238" s="12"/>
      <c r="J238" s="47">
        <f t="shared" si="10"/>
        <v>0</v>
      </c>
      <c r="K238" s="48">
        <f t="shared" si="9"/>
        <v>0</v>
      </c>
      <c r="L238" s="49">
        <f t="shared" si="11"/>
        <v>0</v>
      </c>
    </row>
    <row r="239" spans="1:12" ht="15.75" x14ac:dyDescent="0.25">
      <c r="A239" s="11">
        <v>1830</v>
      </c>
      <c r="B239" s="8"/>
      <c r="C239" s="9" t="s">
        <v>30</v>
      </c>
      <c r="D239" s="10">
        <v>41.128079032888898</v>
      </c>
      <c r="E239" s="12">
        <f>D239*(1-'[1]Discounts page'!D$10)</f>
        <v>22.620443468088897</v>
      </c>
      <c r="F239" s="10">
        <v>37.015271129600009</v>
      </c>
      <c r="G239" s="12">
        <f>F239*(1-'[1]Discounts page'!D$10)</f>
        <v>20.358399121280005</v>
      </c>
      <c r="H239" s="10">
        <v>34.958867177955561</v>
      </c>
      <c r="I239" s="12">
        <f>H239*(1-'[1]Discounts page'!D$10)</f>
        <v>19.227376947875559</v>
      </c>
      <c r="J239" s="47">
        <f t="shared" si="10"/>
        <v>37</v>
      </c>
      <c r="K239" s="48">
        <f t="shared" si="9"/>
        <v>32</v>
      </c>
      <c r="L239" s="49">
        <f t="shared" si="11"/>
        <v>29</v>
      </c>
    </row>
    <row r="240" spans="1:12" ht="15.75" x14ac:dyDescent="0.25">
      <c r="A240" s="11">
        <v>1985</v>
      </c>
      <c r="B240" s="8"/>
      <c r="C240" s="9" t="s">
        <v>30</v>
      </c>
      <c r="D240" s="10">
        <v>43.168785244444443</v>
      </c>
      <c r="E240" s="12">
        <f>D240*(1-'[1]Discounts page'!D$10)</f>
        <v>23.742831884444445</v>
      </c>
      <c r="F240" s="10">
        <v>38.851906720000002</v>
      </c>
      <c r="G240" s="12">
        <f>F240*(1-'[1]Discounts page'!D$10)</f>
        <v>21.368548696000001</v>
      </c>
      <c r="H240" s="10">
        <v>36.693467457777778</v>
      </c>
      <c r="I240" s="12">
        <f>H240*(1-'[1]Discounts page'!D$10)</f>
        <v>20.181407101777779</v>
      </c>
      <c r="J240" s="47">
        <f t="shared" si="10"/>
        <v>38</v>
      </c>
      <c r="K240" s="48">
        <f t="shared" si="9"/>
        <v>34</v>
      </c>
      <c r="L240" s="49">
        <f t="shared" si="11"/>
        <v>31</v>
      </c>
    </row>
    <row r="241" spans="1:12" ht="15.75" x14ac:dyDescent="0.25">
      <c r="A241" s="11">
        <v>2135</v>
      </c>
      <c r="B241" s="8"/>
      <c r="C241" s="9" t="s">
        <v>30</v>
      </c>
      <c r="D241" s="10">
        <v>45.680423658666669</v>
      </c>
      <c r="E241" s="12">
        <f>D241*(1-'[1]Discounts page'!D$10)</f>
        <v>25.124233012266671</v>
      </c>
      <c r="F241" s="10">
        <v>41.112381292800002</v>
      </c>
      <c r="G241" s="12">
        <f>F241*(1-'[1]Discounts page'!D$10)</f>
        <v>22.611809711040003</v>
      </c>
      <c r="H241" s="10">
        <v>38.828360109866665</v>
      </c>
      <c r="I241" s="12">
        <f>H241*(1-'[1]Discounts page'!D$10)</f>
        <v>21.355598060426669</v>
      </c>
      <c r="J241" s="47">
        <f t="shared" si="10"/>
        <v>41</v>
      </c>
      <c r="K241" s="48">
        <f t="shared" si="9"/>
        <v>36</v>
      </c>
      <c r="L241" s="49">
        <f t="shared" si="11"/>
        <v>33</v>
      </c>
    </row>
    <row r="242" spans="1:12" ht="15.75" x14ac:dyDescent="0.25">
      <c r="A242" s="11">
        <v>2290</v>
      </c>
      <c r="B242" s="8"/>
      <c r="C242" s="9" t="s">
        <v>30</v>
      </c>
      <c r="D242" s="10">
        <v>47.407175068444459</v>
      </c>
      <c r="E242" s="12">
        <f>D242*(1-'[1]Discounts page'!D$10)</f>
        <v>26.073946287644453</v>
      </c>
      <c r="F242" s="10">
        <v>42.666457561600012</v>
      </c>
      <c r="G242" s="12">
        <f>F242*(1-'[1]Discounts page'!D$10)</f>
        <v>23.466551658880007</v>
      </c>
      <c r="H242" s="10">
        <v>40.296098808177788</v>
      </c>
      <c r="I242" s="12">
        <f>H242*(1-'[1]Discounts page'!D$10)</f>
        <v>22.162854344497784</v>
      </c>
      <c r="J242" s="47">
        <f t="shared" si="10"/>
        <v>42</v>
      </c>
      <c r="K242" s="48">
        <f t="shared" si="9"/>
        <v>37</v>
      </c>
      <c r="L242" s="49">
        <f t="shared" si="11"/>
        <v>34</v>
      </c>
    </row>
    <row r="243" spans="1:12" ht="15.75" x14ac:dyDescent="0.25">
      <c r="A243" s="11">
        <v>2440</v>
      </c>
      <c r="B243" s="8"/>
      <c r="C243" s="9" t="s">
        <v>30</v>
      </c>
      <c r="D243" s="10">
        <v>49.604858680888896</v>
      </c>
      <c r="E243" s="12">
        <f>D243*(1-'[1]Discounts page'!D$10)</f>
        <v>27.282672274488895</v>
      </c>
      <c r="F243" s="10">
        <v>44.644372812800007</v>
      </c>
      <c r="G243" s="12">
        <f>F243*(1-'[1]Discounts page'!D$10)</f>
        <v>24.554405047040007</v>
      </c>
      <c r="H243" s="10">
        <v>42.16412987875556</v>
      </c>
      <c r="I243" s="12">
        <f>H243*(1-'[1]Discounts page'!D$10)</f>
        <v>23.190271433315559</v>
      </c>
      <c r="J243" s="47">
        <f t="shared" si="10"/>
        <v>44</v>
      </c>
      <c r="K243" s="48">
        <f t="shared" si="9"/>
        <v>39</v>
      </c>
      <c r="L243" s="49">
        <f t="shared" si="11"/>
        <v>35</v>
      </c>
    </row>
    <row r="244" spans="1:12" ht="15.75" x14ac:dyDescent="0.25">
      <c r="A244" s="11">
        <v>2590</v>
      </c>
      <c r="B244" s="8"/>
      <c r="C244" s="9" t="s">
        <v>30</v>
      </c>
      <c r="D244" s="10">
        <v>51.802542293333339</v>
      </c>
      <c r="E244" s="12">
        <f>D244*(1-'[1]Discounts page'!D$10)</f>
        <v>28.491398261333337</v>
      </c>
      <c r="F244" s="10">
        <v>46.622288064000003</v>
      </c>
      <c r="G244" s="12">
        <f>F244*(1-'[1]Discounts page'!D$10)</f>
        <v>25.642258435200002</v>
      </c>
      <c r="H244" s="10">
        <v>44.032160949333338</v>
      </c>
      <c r="I244" s="12">
        <f>H244*(1-'[1]Discounts page'!D$10)</f>
        <v>24.217688522133336</v>
      </c>
      <c r="J244" s="47">
        <f t="shared" si="10"/>
        <v>46</v>
      </c>
      <c r="K244" s="48">
        <f t="shared" si="9"/>
        <v>40</v>
      </c>
      <c r="L244" s="49">
        <f t="shared" si="11"/>
        <v>37</v>
      </c>
    </row>
    <row r="245" spans="1:12" ht="15.75" x14ac:dyDescent="0.25">
      <c r="A245" s="11">
        <v>2745</v>
      </c>
      <c r="B245" s="8"/>
      <c r="C245" s="9" t="s">
        <v>30</v>
      </c>
      <c r="D245" s="10">
        <v>53.686271104000014</v>
      </c>
      <c r="E245" s="12">
        <f>D245*(1-'[1]Discounts page'!D$10)</f>
        <v>29.52744910720001</v>
      </c>
      <c r="F245" s="10">
        <v>48.317643993600015</v>
      </c>
      <c r="G245" s="12">
        <f>F245*(1-'[1]Discounts page'!D$10)</f>
        <v>26.57470419648001</v>
      </c>
      <c r="H245" s="10">
        <v>45.633330438400009</v>
      </c>
      <c r="I245" s="12">
        <f>H245*(1-'[1]Discounts page'!D$10)</f>
        <v>25.098331741120006</v>
      </c>
      <c r="J245" s="47">
        <f t="shared" si="10"/>
        <v>48</v>
      </c>
      <c r="K245" s="48">
        <f t="shared" si="9"/>
        <v>42</v>
      </c>
      <c r="L245" s="49">
        <f t="shared" si="11"/>
        <v>38</v>
      </c>
    </row>
    <row r="246" spans="1:12" ht="15.75" x14ac:dyDescent="0.25">
      <c r="A246" s="11">
        <v>2895</v>
      </c>
      <c r="B246" s="8"/>
      <c r="C246" s="9" t="s">
        <v>30</v>
      </c>
      <c r="D246" s="10">
        <v>55.726977315555558</v>
      </c>
      <c r="E246" s="12">
        <f>D246*(1-'[1]Discounts page'!D$10)</f>
        <v>30.649837523555558</v>
      </c>
      <c r="F246" s="10">
        <v>50.154279584000001</v>
      </c>
      <c r="G246" s="12">
        <f>F246*(1-'[1]Discounts page'!D$10)</f>
        <v>27.584853771200002</v>
      </c>
      <c r="H246" s="10">
        <v>47.367930718222226</v>
      </c>
      <c r="I246" s="12">
        <f>H246*(1-'[1]Discounts page'!D$10)</f>
        <v>26.052361895022226</v>
      </c>
      <c r="J246" s="47">
        <f t="shared" si="10"/>
        <v>50</v>
      </c>
      <c r="K246" s="48">
        <f t="shared" si="9"/>
        <v>43</v>
      </c>
      <c r="L246" s="49">
        <f t="shared" si="11"/>
        <v>40</v>
      </c>
    </row>
    <row r="247" spans="1:12" ht="15.75" x14ac:dyDescent="0.25">
      <c r="A247" s="11">
        <v>3050</v>
      </c>
      <c r="B247" s="8"/>
      <c r="C247" s="9" t="s">
        <v>30</v>
      </c>
      <c r="D247" s="10">
        <v>57.924660928000002</v>
      </c>
      <c r="E247" s="12">
        <f>D247*(1-'[1]Discounts page'!D$10)</f>
        <v>31.858563510400003</v>
      </c>
      <c r="F247" s="10">
        <v>52.132194835200004</v>
      </c>
      <c r="G247" s="12">
        <f>F247*(1-'[1]Discounts page'!D$10)</f>
        <v>28.672707159360005</v>
      </c>
      <c r="H247" s="10">
        <v>49.235961788799997</v>
      </c>
      <c r="I247" s="12">
        <f>H247*(1-'[1]Discounts page'!D$10)</f>
        <v>27.079778983840001</v>
      </c>
      <c r="J247" s="47">
        <f t="shared" si="10"/>
        <v>51</v>
      </c>
      <c r="K247" s="48">
        <f t="shared" si="9"/>
        <v>45</v>
      </c>
      <c r="L247" s="49">
        <f t="shared" si="11"/>
        <v>41</v>
      </c>
    </row>
    <row r="248" spans="1:12" ht="15.75" x14ac:dyDescent="0.25">
      <c r="A248" s="11">
        <v>3200</v>
      </c>
      <c r="B248" s="8"/>
      <c r="C248" s="9" t="s">
        <v>30</v>
      </c>
      <c r="D248" s="10">
        <v>60.279321941333336</v>
      </c>
      <c r="E248" s="12">
        <f>D248*(1-'[1]Discounts page'!D$10)</f>
        <v>33.153627067733339</v>
      </c>
      <c r="F248" s="10">
        <v>54.251389747200001</v>
      </c>
      <c r="G248" s="12">
        <f>F248*(1-'[1]Discounts page'!D$10)</f>
        <v>29.838264360960004</v>
      </c>
      <c r="H248" s="10">
        <v>51.237423650133337</v>
      </c>
      <c r="I248" s="12">
        <f>H248*(1-'[1]Discounts page'!D$10)</f>
        <v>28.180583007573336</v>
      </c>
      <c r="J248" s="47">
        <f t="shared" si="10"/>
        <v>54</v>
      </c>
      <c r="K248" s="48">
        <f t="shared" si="9"/>
        <v>47</v>
      </c>
      <c r="L248" s="49">
        <f t="shared" si="11"/>
        <v>43</v>
      </c>
    </row>
    <row r="249" spans="1:12" ht="15.75" x14ac:dyDescent="0.25">
      <c r="A249" s="11">
        <v>3355</v>
      </c>
      <c r="B249" s="8"/>
      <c r="C249" s="9" t="s">
        <v>30</v>
      </c>
      <c r="D249" s="10">
        <v>62.163050752000004</v>
      </c>
      <c r="E249" s="12">
        <f>D249*(1-'[1]Discounts page'!D$10)</f>
        <v>34.189677913600008</v>
      </c>
      <c r="F249" s="10">
        <v>55.946745676800006</v>
      </c>
      <c r="G249" s="12">
        <f>F249*(1-'[1]Discounts page'!D$10)</f>
        <v>30.770710122240004</v>
      </c>
      <c r="H249" s="10">
        <v>52.8385931392</v>
      </c>
      <c r="I249" s="12">
        <f>H249*(1-'[1]Discounts page'!D$10)</f>
        <v>29.061226226560002</v>
      </c>
      <c r="J249" s="47">
        <f t="shared" si="10"/>
        <v>55</v>
      </c>
      <c r="K249" s="48">
        <f t="shared" si="9"/>
        <v>48</v>
      </c>
      <c r="L249" s="49">
        <f t="shared" si="11"/>
        <v>44</v>
      </c>
    </row>
    <row r="250" spans="1:12" ht="15.75" x14ac:dyDescent="0.25">
      <c r="A250" s="11">
        <v>3510</v>
      </c>
      <c r="B250" s="8"/>
      <c r="C250" s="9" t="s">
        <v>30</v>
      </c>
      <c r="D250" s="10">
        <v>64.36073436444444</v>
      </c>
      <c r="E250" s="12">
        <f>D250*(1-'[1]Discounts page'!D$10)</f>
        <v>35.398403900444443</v>
      </c>
      <c r="F250" s="10">
        <v>57.924660927999994</v>
      </c>
      <c r="G250" s="12">
        <f>F250*(1-'[1]Discounts page'!D$10)</f>
        <v>31.8585635104</v>
      </c>
      <c r="H250" s="10">
        <v>54.706624209777772</v>
      </c>
      <c r="I250" s="12">
        <f>H250*(1-'[1]Discounts page'!D$10)</f>
        <v>30.088643315377777</v>
      </c>
      <c r="J250" s="47">
        <f t="shared" si="10"/>
        <v>57</v>
      </c>
      <c r="K250" s="48">
        <f t="shared" si="9"/>
        <v>50</v>
      </c>
      <c r="L250" s="49">
        <f t="shared" si="11"/>
        <v>46</v>
      </c>
    </row>
    <row r="251" spans="1:12" ht="15.75" x14ac:dyDescent="0.25">
      <c r="A251" s="11">
        <v>3660</v>
      </c>
      <c r="B251" s="8"/>
      <c r="C251" s="9" t="s">
        <v>30</v>
      </c>
      <c r="D251" s="10">
        <v>66.244463175111107</v>
      </c>
      <c r="E251" s="12">
        <f>D251*(1-'[1]Discounts page'!D$10)</f>
        <v>36.434454746311111</v>
      </c>
      <c r="F251" s="10">
        <v>59.6200168576</v>
      </c>
      <c r="G251" s="12">
        <f>F251*(1-'[1]Discounts page'!D$10)</f>
        <v>32.791009271680004</v>
      </c>
      <c r="H251" s="10">
        <v>56.307793698844442</v>
      </c>
      <c r="I251" s="12">
        <f>H251*(1-'[1]Discounts page'!D$10)</f>
        <v>30.969286534364446</v>
      </c>
      <c r="J251" s="47">
        <f t="shared" si="10"/>
        <v>59</v>
      </c>
      <c r="K251" s="48">
        <f t="shared" si="9"/>
        <v>51</v>
      </c>
      <c r="L251" s="49">
        <f t="shared" si="11"/>
        <v>47</v>
      </c>
    </row>
    <row r="252" spans="1:12" ht="15.75" x14ac:dyDescent="0.25">
      <c r="A252" s="11">
        <v>3810</v>
      </c>
      <c r="B252" s="8"/>
      <c r="C252" s="9" t="s">
        <v>30</v>
      </c>
      <c r="D252" s="10">
        <v>68.442146787555558</v>
      </c>
      <c r="E252" s="12">
        <f>D252*(1-'[1]Discounts page'!D$10)</f>
        <v>37.64318073315556</v>
      </c>
      <c r="F252" s="10">
        <v>61.597932108800002</v>
      </c>
      <c r="G252" s="12">
        <f>F252*(1-'[1]Discounts page'!D$10)</f>
        <v>33.878862659840003</v>
      </c>
      <c r="H252" s="10">
        <v>58.175824769422221</v>
      </c>
      <c r="I252" s="12">
        <f>H252*(1-'[1]Discounts page'!D$10)</f>
        <v>31.996703623182224</v>
      </c>
      <c r="J252" s="47">
        <f t="shared" si="10"/>
        <v>61</v>
      </c>
      <c r="K252" s="48">
        <f t="shared" si="9"/>
        <v>53</v>
      </c>
      <c r="L252" s="49">
        <f t="shared" si="11"/>
        <v>48</v>
      </c>
    </row>
    <row r="253" spans="1:12" ht="15.75" x14ac:dyDescent="0.25">
      <c r="A253" s="11">
        <v>3965</v>
      </c>
      <c r="B253" s="8"/>
      <c r="C253" s="9" t="s">
        <v>30</v>
      </c>
      <c r="D253" s="10">
        <v>70.482852999111117</v>
      </c>
      <c r="E253" s="12">
        <f>D253*(1-'[1]Discounts page'!D$10)</f>
        <v>38.765569149511116</v>
      </c>
      <c r="F253" s="10">
        <v>63.434567699200009</v>
      </c>
      <c r="G253" s="12">
        <f>F253*(1-'[1]Discounts page'!D$10)</f>
        <v>34.889012234560006</v>
      </c>
      <c r="H253" s="10">
        <v>59.910425049244445</v>
      </c>
      <c r="I253" s="12">
        <f>H253*(1-'[1]Discounts page'!D$10)</f>
        <v>32.950733777084444</v>
      </c>
      <c r="J253" s="47">
        <f t="shared" si="10"/>
        <v>63</v>
      </c>
      <c r="K253" s="48">
        <f t="shared" si="9"/>
        <v>55</v>
      </c>
      <c r="L253" s="49">
        <f t="shared" si="11"/>
        <v>50</v>
      </c>
    </row>
    <row r="254" spans="1:12" ht="15.75" x14ac:dyDescent="0.25">
      <c r="A254" s="11">
        <v>4115</v>
      </c>
      <c r="B254" s="8"/>
      <c r="C254" s="9" t="s">
        <v>30</v>
      </c>
      <c r="D254" s="10">
        <v>72.523559210666676</v>
      </c>
      <c r="E254" s="12">
        <f>D254*(1-'[1]Discounts page'!D$10)</f>
        <v>39.887957565866678</v>
      </c>
      <c r="F254" s="10">
        <v>65.27120328960001</v>
      </c>
      <c r="G254" s="12">
        <f>F254*(1-'[1]Discounts page'!D$10)</f>
        <v>35.89916180928001</v>
      </c>
      <c r="H254" s="10">
        <v>61.645025329066669</v>
      </c>
      <c r="I254" s="12">
        <f>H254*(1-'[1]Discounts page'!D$10)</f>
        <v>33.904763930986668</v>
      </c>
      <c r="J254" s="47">
        <f t="shared" si="10"/>
        <v>64</v>
      </c>
      <c r="K254" s="48">
        <f t="shared" si="9"/>
        <v>56</v>
      </c>
      <c r="L254" s="49">
        <f t="shared" si="11"/>
        <v>51</v>
      </c>
    </row>
    <row r="255" spans="1:12" ht="15.75" x14ac:dyDescent="0.25">
      <c r="A255" s="11">
        <v>4270</v>
      </c>
      <c r="B255" s="8"/>
      <c r="C255" s="9" t="s">
        <v>30</v>
      </c>
      <c r="D255" s="10">
        <v>74.407288021333343</v>
      </c>
      <c r="E255" s="12">
        <f>D255*(1-'[1]Discounts page'!D$10)</f>
        <v>40.92400841173334</v>
      </c>
      <c r="F255" s="10">
        <v>66.966559219200008</v>
      </c>
      <c r="G255" s="12">
        <f>F255*(1-'[1]Discounts page'!D$10)</f>
        <v>36.83160757056001</v>
      </c>
      <c r="H255" s="10">
        <v>63.24619481813334</v>
      </c>
      <c r="I255" s="12">
        <f>H255*(1-'[1]Discounts page'!D$10)</f>
        <v>34.785407149973338</v>
      </c>
      <c r="J255" s="47">
        <f t="shared" si="10"/>
        <v>66</v>
      </c>
      <c r="K255" s="48">
        <f t="shared" si="9"/>
        <v>58</v>
      </c>
      <c r="L255" s="49">
        <f t="shared" si="11"/>
        <v>53</v>
      </c>
    </row>
    <row r="256" spans="1:12" ht="15.75" x14ac:dyDescent="0.25">
      <c r="A256" s="11">
        <v>4420</v>
      </c>
      <c r="B256" s="8"/>
      <c r="C256" s="9" t="s">
        <v>30</v>
      </c>
      <c r="D256" s="10">
        <v>76.918926435555576</v>
      </c>
      <c r="E256" s="12">
        <f>D256*(1-'[1]Discounts page'!D$10)</f>
        <v>42.305409539555569</v>
      </c>
      <c r="F256" s="10">
        <v>69.227033792000015</v>
      </c>
      <c r="G256" s="12">
        <f>F256*(1-'[1]Discounts page'!D$10)</f>
        <v>38.074868585600008</v>
      </c>
      <c r="H256" s="10">
        <v>65.381087470222241</v>
      </c>
      <c r="I256" s="12">
        <f>H256*(1-'[1]Discounts page'!D$10)</f>
        <v>35.959598108622238</v>
      </c>
      <c r="J256" s="47">
        <f t="shared" si="10"/>
        <v>68</v>
      </c>
      <c r="K256" s="48">
        <f t="shared" si="9"/>
        <v>60</v>
      </c>
      <c r="L256" s="49">
        <f t="shared" si="11"/>
        <v>54</v>
      </c>
    </row>
    <row r="257" spans="1:12" ht="15.75" x14ac:dyDescent="0.25">
      <c r="A257" s="11">
        <v>4575</v>
      </c>
      <c r="B257" s="8"/>
      <c r="C257" s="9" t="s">
        <v>30</v>
      </c>
      <c r="D257" s="10">
        <v>78.959632647111121</v>
      </c>
      <c r="E257" s="12">
        <f>D257*(1-'[1]Discounts page'!D$10)</f>
        <v>43.427797955911117</v>
      </c>
      <c r="F257" s="10">
        <v>71.063669382400008</v>
      </c>
      <c r="G257" s="12">
        <f>F257*(1-'[1]Discounts page'!D$10)</f>
        <v>39.085018160320004</v>
      </c>
      <c r="H257" s="10">
        <v>67.115687750044458</v>
      </c>
      <c r="I257" s="12">
        <f>H257*(1-'[1]Discounts page'!D$10)</f>
        <v>36.913628262524455</v>
      </c>
      <c r="J257" s="47">
        <f t="shared" si="10"/>
        <v>70</v>
      </c>
      <c r="K257" s="48">
        <f t="shared" si="9"/>
        <v>61</v>
      </c>
      <c r="L257" s="49">
        <f t="shared" si="11"/>
        <v>56</v>
      </c>
    </row>
    <row r="258" spans="1:12" ht="15.75" x14ac:dyDescent="0.25">
      <c r="A258" s="11">
        <v>4880</v>
      </c>
      <c r="B258" s="8"/>
      <c r="C258" s="9" t="s">
        <v>30</v>
      </c>
      <c r="D258" s="10">
        <v>83.19802247111113</v>
      </c>
      <c r="E258" s="12">
        <f>D258*(1-'[1]Discounts page'!D$10)</f>
        <v>45.758912359111129</v>
      </c>
      <c r="F258" s="10">
        <v>74.878220224000017</v>
      </c>
      <c r="G258" s="12">
        <f>F258*(1-'[1]Discounts page'!D$10)</f>
        <v>41.183021123200014</v>
      </c>
      <c r="H258" s="10">
        <v>70.718319100444461</v>
      </c>
      <c r="I258" s="12">
        <f>H258*(1-'[1]Discounts page'!D$10)</f>
        <v>38.895075505244456</v>
      </c>
      <c r="J258" s="47">
        <f t="shared" si="10"/>
        <v>74</v>
      </c>
      <c r="K258" s="48">
        <f t="shared" si="9"/>
        <v>64</v>
      </c>
      <c r="L258" s="49">
        <f t="shared" si="11"/>
        <v>59</v>
      </c>
    </row>
    <row r="259" spans="1:12" ht="15.75" x14ac:dyDescent="0.25">
      <c r="A259" s="11">
        <v>5185</v>
      </c>
      <c r="B259" s="8"/>
      <c r="C259" s="9" t="s">
        <v>30</v>
      </c>
      <c r="D259" s="10">
        <v>87.593389696000017</v>
      </c>
      <c r="E259" s="12">
        <f>D259*(1-'[1]Discounts page'!D$10)</f>
        <v>48.176364332800013</v>
      </c>
      <c r="F259" s="10">
        <v>78.834050726400022</v>
      </c>
      <c r="G259" s="12">
        <f>F259*(1-'[1]Discounts page'!D$10)</f>
        <v>43.358727899520012</v>
      </c>
      <c r="H259" s="10">
        <v>74.454381241600018</v>
      </c>
      <c r="I259" s="12">
        <f>H259*(1-'[1]Discounts page'!D$10)</f>
        <v>40.949909682880012</v>
      </c>
      <c r="J259" s="47">
        <f t="shared" si="10"/>
        <v>78</v>
      </c>
      <c r="K259" s="48">
        <f t="shared" si="9"/>
        <v>68</v>
      </c>
      <c r="L259" s="49">
        <f t="shared" si="11"/>
        <v>62</v>
      </c>
    </row>
    <row r="260" spans="1:12" ht="15.75" x14ac:dyDescent="0.25">
      <c r="A260" s="11">
        <v>5490</v>
      </c>
      <c r="B260" s="8"/>
      <c r="C260" s="9" t="s">
        <v>30</v>
      </c>
      <c r="D260" s="10">
        <v>91.360847317333338</v>
      </c>
      <c r="E260" s="12">
        <f>D260*(1-'[1]Discounts page'!D$10)</f>
        <v>50.248466024533343</v>
      </c>
      <c r="F260" s="10">
        <v>82.224762585600004</v>
      </c>
      <c r="G260" s="12">
        <f>F260*(1-'[1]Discounts page'!D$10)</f>
        <v>45.223619422080006</v>
      </c>
      <c r="H260" s="10">
        <v>77.65672021973333</v>
      </c>
      <c r="I260" s="12">
        <f>H260*(1-'[1]Discounts page'!D$10)</f>
        <v>42.711196120853337</v>
      </c>
      <c r="J260" s="47">
        <f t="shared" si="10"/>
        <v>81</v>
      </c>
      <c r="K260" s="48">
        <f t="shared" si="9"/>
        <v>71</v>
      </c>
      <c r="L260" s="49">
        <f t="shared" si="11"/>
        <v>65</v>
      </c>
    </row>
    <row r="261" spans="1:12" ht="15.75" x14ac:dyDescent="0.25">
      <c r="A261" s="11">
        <v>5795</v>
      </c>
      <c r="B261" s="8"/>
      <c r="C261" s="9" t="s">
        <v>30</v>
      </c>
      <c r="D261" s="10">
        <v>95.599237141333347</v>
      </c>
      <c r="E261" s="12">
        <f>D261*(1-'[1]Discounts page'!D$10)</f>
        <v>52.579580427733347</v>
      </c>
      <c r="F261" s="10">
        <v>86.039313427200014</v>
      </c>
      <c r="G261" s="12">
        <f>F261*(1-'[1]Discounts page'!D$10)</f>
        <v>47.321622384960008</v>
      </c>
      <c r="H261" s="10">
        <v>81.259351570133347</v>
      </c>
      <c r="I261" s="12">
        <f>H261*(1-'[1]Discounts page'!D$10)</f>
        <v>44.692643363573346</v>
      </c>
      <c r="J261" s="47">
        <f t="shared" si="10"/>
        <v>85</v>
      </c>
      <c r="K261" s="48">
        <f t="shared" si="9"/>
        <v>74</v>
      </c>
      <c r="L261" s="49">
        <f t="shared" si="11"/>
        <v>68</v>
      </c>
    </row>
    <row r="262" spans="1:12" ht="15.75" x14ac:dyDescent="0.25">
      <c r="A262" s="11">
        <v>6100</v>
      </c>
      <c r="B262" s="8"/>
      <c r="C262" s="9" t="s">
        <v>30</v>
      </c>
      <c r="D262" s="10">
        <v>99.994604366222219</v>
      </c>
      <c r="E262" s="12">
        <f>D262*(1-'[1]Discounts page'!D$10)</f>
        <v>54.997032401422224</v>
      </c>
      <c r="F262" s="10">
        <v>89.995143929600005</v>
      </c>
      <c r="G262" s="12">
        <f>F262*(1-'[1]Discounts page'!D$10)</f>
        <v>49.497329161280007</v>
      </c>
      <c r="H262" s="10">
        <v>84.99541371128889</v>
      </c>
      <c r="I262" s="12">
        <f>H262*(1-'[1]Discounts page'!D$10)</f>
        <v>46.747477541208895</v>
      </c>
      <c r="J262" s="47">
        <f t="shared" si="10"/>
        <v>88</v>
      </c>
      <c r="K262" s="48">
        <f t="shared" si="9"/>
        <v>77</v>
      </c>
      <c r="L262" s="49">
        <f t="shared" si="11"/>
        <v>71</v>
      </c>
    </row>
    <row r="263" spans="1:12" ht="15.75" x14ac:dyDescent="0.25">
      <c r="A263" s="11">
        <v>6400</v>
      </c>
      <c r="B263" s="8"/>
      <c r="C263" s="9" t="s">
        <v>30</v>
      </c>
      <c r="D263" s="10">
        <v>104.23299419022224</v>
      </c>
      <c r="E263" s="12">
        <f>D263*(1-'[1]Discounts page'!D$10)</f>
        <v>57.328146804622236</v>
      </c>
      <c r="F263" s="10">
        <v>93.809694771200014</v>
      </c>
      <c r="G263" s="12">
        <f>F263*(1-'[1]Discounts page'!D$10)</f>
        <v>51.595332124160009</v>
      </c>
      <c r="H263" s="10">
        <v>88.598045061688907</v>
      </c>
      <c r="I263" s="12">
        <f>H263*(1-'[1]Discounts page'!D$10)</f>
        <v>48.728924783928903</v>
      </c>
      <c r="J263" s="47">
        <f t="shared" si="10"/>
        <v>92</v>
      </c>
      <c r="K263" s="48">
        <f t="shared" si="9"/>
        <v>80</v>
      </c>
      <c r="L263" s="49">
        <f t="shared" si="11"/>
        <v>74</v>
      </c>
    </row>
    <row r="264" spans="1:12" ht="15.75" x14ac:dyDescent="0.25">
      <c r="A264" s="7" t="s">
        <v>36</v>
      </c>
      <c r="B264" s="8"/>
      <c r="C264" s="9"/>
      <c r="D264" s="10"/>
      <c r="E264" s="12"/>
      <c r="F264" s="10"/>
      <c r="G264" s="12"/>
      <c r="H264" s="10"/>
      <c r="I264" s="12"/>
      <c r="J264" s="47">
        <f t="shared" si="10"/>
        <v>0</v>
      </c>
      <c r="K264" s="48">
        <f t="shared" si="9"/>
        <v>0</v>
      </c>
      <c r="L264" s="49">
        <f t="shared" si="11"/>
        <v>0</v>
      </c>
    </row>
    <row r="265" spans="1:12" ht="15.75" x14ac:dyDescent="0.25">
      <c r="A265" s="11">
        <v>2135</v>
      </c>
      <c r="B265" s="8"/>
      <c r="C265" s="9" t="s">
        <v>30</v>
      </c>
      <c r="D265" s="10">
        <v>49.290903879111127</v>
      </c>
      <c r="E265" s="12">
        <f>D265*(1-'[1]Discounts page'!D$10)</f>
        <v>27.109997133511122</v>
      </c>
      <c r="F265" s="10">
        <v>44.361813491200017</v>
      </c>
      <c r="G265" s="12">
        <f>F265*(1-'[1]Discounts page'!D$10)</f>
        <v>24.398997420160011</v>
      </c>
      <c r="H265" s="10">
        <v>41.897268297244459</v>
      </c>
      <c r="I265" s="12">
        <f>H265*(1-'[1]Discounts page'!D$10)</f>
        <v>23.043497563484454</v>
      </c>
      <c r="J265" s="47">
        <f t="shared" si="10"/>
        <v>44</v>
      </c>
      <c r="K265" s="48">
        <f t="shared" ref="K265:K328" si="12">ROUNDUP(G265*1.55,0)</f>
        <v>38</v>
      </c>
      <c r="L265" s="49">
        <f t="shared" si="11"/>
        <v>35</v>
      </c>
    </row>
    <row r="266" spans="1:12" ht="15.75" x14ac:dyDescent="0.25">
      <c r="A266" s="11">
        <v>2290</v>
      </c>
      <c r="B266" s="8"/>
      <c r="C266" s="9" t="s">
        <v>30</v>
      </c>
      <c r="D266" s="10">
        <v>51.64556489244444</v>
      </c>
      <c r="E266" s="12">
        <f>D266*(1-'[1]Discounts page'!D$10)</f>
        <v>28.405060690844444</v>
      </c>
      <c r="F266" s="10">
        <v>46.481008403200001</v>
      </c>
      <c r="G266" s="12">
        <f>F266*(1-'[1]Discounts page'!D$10)</f>
        <v>25.564554621760003</v>
      </c>
      <c r="H266" s="10">
        <v>43.89873015857777</v>
      </c>
      <c r="I266" s="12">
        <f>H266*(1-'[1]Discounts page'!D$10)</f>
        <v>24.144301587217775</v>
      </c>
      <c r="J266" s="47">
        <f t="shared" ref="J266:J329" si="13">ROUNDUP(E266*1.6,0)</f>
        <v>46</v>
      </c>
      <c r="K266" s="48">
        <f t="shared" si="12"/>
        <v>40</v>
      </c>
      <c r="L266" s="49">
        <f t="shared" ref="L266:L329" si="14">ROUNDUP(I266*1.5,0)</f>
        <v>37</v>
      </c>
    </row>
    <row r="267" spans="1:12" ht="15.75" x14ac:dyDescent="0.25">
      <c r="A267" s="11">
        <v>2440</v>
      </c>
      <c r="B267" s="8"/>
      <c r="C267" s="9" t="s">
        <v>30</v>
      </c>
      <c r="D267" s="10">
        <v>53.843248504888898</v>
      </c>
      <c r="E267" s="12">
        <f>D267*(1-'[1]Discounts page'!D$10)</f>
        <v>29.613786677688896</v>
      </c>
      <c r="F267" s="10">
        <v>48.45892365440001</v>
      </c>
      <c r="G267" s="12">
        <f>F267*(1-'[1]Discounts page'!D$10)</f>
        <v>26.652408009920009</v>
      </c>
      <c r="H267" s="10">
        <v>45.766761229155563</v>
      </c>
      <c r="I267" s="12">
        <f>H267*(1-'[1]Discounts page'!D$10)</f>
        <v>25.17171867603556</v>
      </c>
      <c r="J267" s="47">
        <f t="shared" si="13"/>
        <v>48</v>
      </c>
      <c r="K267" s="48">
        <f t="shared" si="12"/>
        <v>42</v>
      </c>
      <c r="L267" s="49">
        <f t="shared" si="14"/>
        <v>38</v>
      </c>
    </row>
    <row r="268" spans="1:12" ht="15.75" x14ac:dyDescent="0.25">
      <c r="A268" s="11">
        <v>2590</v>
      </c>
      <c r="B268" s="8"/>
      <c r="C268" s="9" t="s">
        <v>30</v>
      </c>
      <c r="D268" s="10">
        <v>56.354886919111109</v>
      </c>
      <c r="E268" s="12">
        <f>D268*(1-'[1]Discounts page'!D$10)</f>
        <v>30.995187805511112</v>
      </c>
      <c r="F268" s="10">
        <v>50.719398227200003</v>
      </c>
      <c r="G268" s="12">
        <f>F268*(1-'[1]Discounts page'!D$10)</f>
        <v>27.895669024960004</v>
      </c>
      <c r="H268" s="10">
        <v>47.901653881244442</v>
      </c>
      <c r="I268" s="12">
        <f>H268*(1-'[1]Discounts page'!D$10)</f>
        <v>26.345909634684446</v>
      </c>
      <c r="J268" s="47">
        <f t="shared" si="13"/>
        <v>50</v>
      </c>
      <c r="K268" s="48">
        <f t="shared" si="12"/>
        <v>44</v>
      </c>
      <c r="L268" s="49">
        <f t="shared" si="14"/>
        <v>40</v>
      </c>
    </row>
    <row r="269" spans="1:12" ht="15.75" x14ac:dyDescent="0.25">
      <c r="A269" s="11">
        <v>2745</v>
      </c>
      <c r="B269" s="8"/>
      <c r="C269" s="9" t="s">
        <v>30</v>
      </c>
      <c r="D269" s="10">
        <v>58.552570531555567</v>
      </c>
      <c r="E269" s="12">
        <f>D269*(1-'[1]Discounts page'!D$10)</f>
        <v>32.203913792355564</v>
      </c>
      <c r="F269" s="10">
        <v>52.697313478400012</v>
      </c>
      <c r="G269" s="12">
        <f>F269*(1-'[1]Discounts page'!D$10)</f>
        <v>28.98352241312001</v>
      </c>
      <c r="H269" s="10">
        <v>49.769684951822228</v>
      </c>
      <c r="I269" s="12">
        <f>H269*(1-'[1]Discounts page'!D$10)</f>
        <v>27.373326723502228</v>
      </c>
      <c r="J269" s="47">
        <f t="shared" si="13"/>
        <v>52</v>
      </c>
      <c r="K269" s="48">
        <f t="shared" si="12"/>
        <v>45</v>
      </c>
      <c r="L269" s="49">
        <f t="shared" si="14"/>
        <v>42</v>
      </c>
    </row>
    <row r="270" spans="1:12" ht="15.75" x14ac:dyDescent="0.25">
      <c r="A270" s="11">
        <v>2895</v>
      </c>
      <c r="B270" s="8"/>
      <c r="C270" s="9" t="s">
        <v>30</v>
      </c>
      <c r="D270" s="10">
        <v>61.064208945777786</v>
      </c>
      <c r="E270" s="12">
        <f>D270*(1-'[1]Discounts page'!D$10)</f>
        <v>33.585314920177787</v>
      </c>
      <c r="F270" s="10">
        <v>54.957788051200005</v>
      </c>
      <c r="G270" s="12">
        <f>F270*(1-'[1]Discounts page'!D$10)</f>
        <v>30.226783428160005</v>
      </c>
      <c r="H270" s="10">
        <v>51.904577603911115</v>
      </c>
      <c r="I270" s="12">
        <f>H270*(1-'[1]Discounts page'!D$10)</f>
        <v>28.547517682151117</v>
      </c>
      <c r="J270" s="47">
        <f t="shared" si="13"/>
        <v>54</v>
      </c>
      <c r="K270" s="48">
        <f t="shared" si="12"/>
        <v>47</v>
      </c>
      <c r="L270" s="49">
        <f t="shared" si="14"/>
        <v>43</v>
      </c>
    </row>
    <row r="271" spans="1:12" ht="15.75" x14ac:dyDescent="0.25">
      <c r="A271" s="11">
        <v>3050</v>
      </c>
      <c r="B271" s="8"/>
      <c r="C271" s="9" t="s">
        <v>30</v>
      </c>
      <c r="D271" s="10">
        <v>63.261892558222236</v>
      </c>
      <c r="E271" s="12">
        <f>D271*(1-'[1]Discounts page'!D$10)</f>
        <v>34.794040907022236</v>
      </c>
      <c r="F271" s="10">
        <v>56.935703302400015</v>
      </c>
      <c r="G271" s="12">
        <f>F271*(1-'[1]Discounts page'!D$10)</f>
        <v>31.314636816320011</v>
      </c>
      <c r="H271" s="10">
        <v>53.7726086744889</v>
      </c>
      <c r="I271" s="12">
        <f>H271*(1-'[1]Discounts page'!D$10)</f>
        <v>29.574934770968898</v>
      </c>
      <c r="J271" s="47">
        <f t="shared" si="13"/>
        <v>56</v>
      </c>
      <c r="K271" s="48">
        <f t="shared" si="12"/>
        <v>49</v>
      </c>
      <c r="L271" s="49">
        <f t="shared" si="14"/>
        <v>45</v>
      </c>
    </row>
    <row r="272" spans="1:12" ht="15.75" x14ac:dyDescent="0.25">
      <c r="A272" s="11">
        <v>3200</v>
      </c>
      <c r="B272" s="8"/>
      <c r="C272" s="9" t="s">
        <v>30</v>
      </c>
      <c r="D272" s="10">
        <v>65.302598769777774</v>
      </c>
      <c r="E272" s="12">
        <f>D272*(1-'[1]Discounts page'!D$10)</f>
        <v>35.916429323377777</v>
      </c>
      <c r="F272" s="10">
        <v>58.772338892800001</v>
      </c>
      <c r="G272" s="12">
        <f>F272*(1-'[1]Discounts page'!D$10)</f>
        <v>32.32478639104</v>
      </c>
      <c r="H272" s="10">
        <v>55.507208954311103</v>
      </c>
      <c r="I272" s="12">
        <f>H272*(1-'[1]Discounts page'!D$10)</f>
        <v>30.528964924871108</v>
      </c>
      <c r="J272" s="47">
        <f t="shared" si="13"/>
        <v>58</v>
      </c>
      <c r="K272" s="48">
        <f t="shared" si="12"/>
        <v>51</v>
      </c>
      <c r="L272" s="49">
        <f t="shared" si="14"/>
        <v>46</v>
      </c>
    </row>
    <row r="273" spans="1:12" ht="15.75" x14ac:dyDescent="0.25">
      <c r="A273" s="11">
        <v>3355</v>
      </c>
      <c r="B273" s="8"/>
      <c r="C273" s="9" t="s">
        <v>30</v>
      </c>
      <c r="D273" s="10">
        <v>68.128191985777775</v>
      </c>
      <c r="E273" s="12">
        <f>D273*(1-'[1]Discounts page'!D$10)</f>
        <v>37.47050559217778</v>
      </c>
      <c r="F273" s="10">
        <v>61.315372787199998</v>
      </c>
      <c r="G273" s="12">
        <f>F273*(1-'[1]Discounts page'!D$10)</f>
        <v>33.723455032960004</v>
      </c>
      <c r="H273" s="10">
        <v>57.908963187911105</v>
      </c>
      <c r="I273" s="12">
        <f>H273*(1-'[1]Discounts page'!D$10)</f>
        <v>31.849929753351109</v>
      </c>
      <c r="J273" s="47">
        <f t="shared" si="13"/>
        <v>60</v>
      </c>
      <c r="K273" s="48">
        <f t="shared" si="12"/>
        <v>53</v>
      </c>
      <c r="L273" s="49">
        <f t="shared" si="14"/>
        <v>48</v>
      </c>
    </row>
    <row r="274" spans="1:12" ht="15.75" x14ac:dyDescent="0.25">
      <c r="A274" s="11">
        <v>3510</v>
      </c>
      <c r="B274" s="8"/>
      <c r="C274" s="9" t="s">
        <v>30</v>
      </c>
      <c r="D274" s="10">
        <v>70.325875598222225</v>
      </c>
      <c r="E274" s="12">
        <f>D274*(1-'[1]Discounts page'!D$10)</f>
        <v>38.679231579022229</v>
      </c>
      <c r="F274" s="10">
        <v>63.293288038400007</v>
      </c>
      <c r="G274" s="12">
        <f>F274*(1-'[1]Discounts page'!D$10)</f>
        <v>34.811308421120003</v>
      </c>
      <c r="H274" s="10">
        <v>59.776994258488891</v>
      </c>
      <c r="I274" s="12">
        <f>H274*(1-'[1]Discounts page'!D$10)</f>
        <v>32.87734684216889</v>
      </c>
      <c r="J274" s="47">
        <f t="shared" si="13"/>
        <v>62</v>
      </c>
      <c r="K274" s="48">
        <f t="shared" si="12"/>
        <v>54</v>
      </c>
      <c r="L274" s="49">
        <f t="shared" si="14"/>
        <v>50</v>
      </c>
    </row>
    <row r="275" spans="1:12" ht="15.75" x14ac:dyDescent="0.25">
      <c r="A275" s="11">
        <v>3660</v>
      </c>
      <c r="B275" s="8"/>
      <c r="C275" s="9" t="s">
        <v>30</v>
      </c>
      <c r="D275" s="10">
        <v>72.523559210666676</v>
      </c>
      <c r="E275" s="12">
        <f>D275*(1-'[1]Discounts page'!D$10)</f>
        <v>39.887957565866678</v>
      </c>
      <c r="F275" s="10">
        <v>65.27120328960001</v>
      </c>
      <c r="G275" s="12">
        <f>F275*(1-'[1]Discounts page'!D$10)</f>
        <v>35.89916180928001</v>
      </c>
      <c r="H275" s="10">
        <v>61.645025329066669</v>
      </c>
      <c r="I275" s="12">
        <f>H275*(1-'[1]Discounts page'!D$10)</f>
        <v>33.904763930986668</v>
      </c>
      <c r="J275" s="47">
        <f t="shared" si="13"/>
        <v>64</v>
      </c>
      <c r="K275" s="48">
        <f t="shared" si="12"/>
        <v>56</v>
      </c>
      <c r="L275" s="49">
        <f t="shared" si="14"/>
        <v>51</v>
      </c>
    </row>
    <row r="276" spans="1:12" ht="15.75" x14ac:dyDescent="0.25">
      <c r="A276" s="11">
        <v>3810</v>
      </c>
      <c r="B276" s="8"/>
      <c r="C276" s="9" t="s">
        <v>30</v>
      </c>
      <c r="D276" s="10">
        <v>75.192175025777786</v>
      </c>
      <c r="E276" s="12">
        <f>D276*(1-'[1]Discounts page'!D$10)</f>
        <v>41.355696264177787</v>
      </c>
      <c r="F276" s="10">
        <v>67.672957523200012</v>
      </c>
      <c r="G276" s="12">
        <f>F276*(1-'[1]Discounts page'!D$10)</f>
        <v>37.220126637760011</v>
      </c>
      <c r="H276" s="10">
        <v>63.913348771911117</v>
      </c>
      <c r="I276" s="12">
        <f>H276*(1-'[1]Discounts page'!D$10)</f>
        <v>35.152341824551115</v>
      </c>
      <c r="J276" s="47">
        <f t="shared" si="13"/>
        <v>67</v>
      </c>
      <c r="K276" s="48">
        <f t="shared" si="12"/>
        <v>58</v>
      </c>
      <c r="L276" s="49">
        <f t="shared" si="14"/>
        <v>53</v>
      </c>
    </row>
    <row r="277" spans="1:12" ht="15.75" x14ac:dyDescent="0.25">
      <c r="A277" s="11">
        <v>3965</v>
      </c>
      <c r="B277" s="8"/>
      <c r="C277" s="9" t="s">
        <v>30</v>
      </c>
      <c r="D277" s="10">
        <v>77.546836039111128</v>
      </c>
      <c r="E277" s="12">
        <f>D277*(1-'[1]Discounts page'!D$10)</f>
        <v>42.650759821511123</v>
      </c>
      <c r="F277" s="10">
        <v>69.792152435200023</v>
      </c>
      <c r="G277" s="12">
        <f>F277*(1-'[1]Discounts page'!D$10)</f>
        <v>38.385683839360013</v>
      </c>
      <c r="H277" s="10">
        <v>65.914810633244457</v>
      </c>
      <c r="I277" s="12">
        <f>H277*(1-'[1]Discounts page'!D$10)</f>
        <v>36.253145848284454</v>
      </c>
      <c r="J277" s="47">
        <f t="shared" si="13"/>
        <v>69</v>
      </c>
      <c r="K277" s="48">
        <f t="shared" si="12"/>
        <v>60</v>
      </c>
      <c r="L277" s="49">
        <f t="shared" si="14"/>
        <v>55</v>
      </c>
    </row>
    <row r="278" spans="1:12" ht="15.75" x14ac:dyDescent="0.25">
      <c r="A278" s="11">
        <v>4115</v>
      </c>
      <c r="B278" s="8"/>
      <c r="C278" s="9" t="s">
        <v>30</v>
      </c>
      <c r="D278" s="10">
        <v>79.587542250666672</v>
      </c>
      <c r="E278" s="12">
        <f>D278*(1-'[1]Discounts page'!D$10)</f>
        <v>43.773148237866671</v>
      </c>
      <c r="F278" s="10">
        <v>71.628788025600002</v>
      </c>
      <c r="G278" s="12">
        <f>F278*(1-'[1]Discounts page'!D$10)</f>
        <v>39.395833414080002</v>
      </c>
      <c r="H278" s="10">
        <v>67.649410913066674</v>
      </c>
      <c r="I278" s="12">
        <f>H278*(1-'[1]Discounts page'!D$10)</f>
        <v>37.207176002186671</v>
      </c>
      <c r="J278" s="47">
        <f t="shared" si="13"/>
        <v>71</v>
      </c>
      <c r="K278" s="48">
        <f t="shared" si="12"/>
        <v>62</v>
      </c>
      <c r="L278" s="49">
        <f t="shared" si="14"/>
        <v>56</v>
      </c>
    </row>
    <row r="279" spans="1:12" ht="15.75" x14ac:dyDescent="0.25">
      <c r="A279" s="11">
        <v>4270</v>
      </c>
      <c r="B279" s="8"/>
      <c r="C279" s="9" t="s">
        <v>30</v>
      </c>
      <c r="D279" s="10">
        <v>82.099180664888891</v>
      </c>
      <c r="E279" s="12">
        <f>D279*(1-'[1]Discounts page'!D$10)</f>
        <v>45.154549365688894</v>
      </c>
      <c r="F279" s="10">
        <v>73.889262598400009</v>
      </c>
      <c r="G279" s="12">
        <f>F279*(1-'[1]Discounts page'!D$10)</f>
        <v>40.639094429120007</v>
      </c>
      <c r="H279" s="10">
        <v>69.784303565155554</v>
      </c>
      <c r="I279" s="12">
        <f>H279*(1-'[1]Discounts page'!D$10)</f>
        <v>38.381366960835557</v>
      </c>
      <c r="J279" s="47">
        <f t="shared" si="13"/>
        <v>73</v>
      </c>
      <c r="K279" s="48">
        <f t="shared" si="12"/>
        <v>63</v>
      </c>
      <c r="L279" s="49">
        <f t="shared" si="14"/>
        <v>58</v>
      </c>
    </row>
    <row r="280" spans="1:12" ht="15.75" x14ac:dyDescent="0.25">
      <c r="A280" s="11">
        <v>4420</v>
      </c>
      <c r="B280" s="8"/>
      <c r="C280" s="9" t="s">
        <v>30</v>
      </c>
      <c r="D280" s="10">
        <v>84.453841678222247</v>
      </c>
      <c r="E280" s="12">
        <f>D280*(1-'[1]Discounts page'!D$10)</f>
        <v>46.449612923022237</v>
      </c>
      <c r="F280" s="10">
        <v>76.008457510400021</v>
      </c>
      <c r="G280" s="12">
        <f>F280*(1-'[1]Discounts page'!D$10)</f>
        <v>41.804651630720016</v>
      </c>
      <c r="H280" s="10">
        <v>71.785765426488908</v>
      </c>
      <c r="I280" s="12">
        <f>H280*(1-'[1]Discounts page'!D$10)</f>
        <v>39.482170984568903</v>
      </c>
      <c r="J280" s="47">
        <f t="shared" si="13"/>
        <v>75</v>
      </c>
      <c r="K280" s="48">
        <f t="shared" si="12"/>
        <v>65</v>
      </c>
      <c r="L280" s="49">
        <f t="shared" si="14"/>
        <v>60</v>
      </c>
    </row>
    <row r="281" spans="1:12" ht="15.75" x14ac:dyDescent="0.25">
      <c r="A281" s="11">
        <v>4575</v>
      </c>
      <c r="B281" s="8"/>
      <c r="C281" s="9" t="s">
        <v>30</v>
      </c>
      <c r="D281" s="10">
        <v>86.494547889777778</v>
      </c>
      <c r="E281" s="12">
        <f>D281*(1-'[1]Discounts page'!D$10)</f>
        <v>47.572001339377785</v>
      </c>
      <c r="F281" s="10">
        <v>77.8450931008</v>
      </c>
      <c r="G281" s="12">
        <f>F281*(1-'[1]Discounts page'!D$10)</f>
        <v>42.814801205440006</v>
      </c>
      <c r="H281" s="10">
        <v>73.520365706311111</v>
      </c>
      <c r="I281" s="12">
        <f>H281*(1-'[1]Discounts page'!D$10)</f>
        <v>40.436201138471112</v>
      </c>
      <c r="J281" s="47">
        <f t="shared" si="13"/>
        <v>77</v>
      </c>
      <c r="K281" s="48">
        <f t="shared" si="12"/>
        <v>67</v>
      </c>
      <c r="L281" s="49">
        <f t="shared" si="14"/>
        <v>61</v>
      </c>
    </row>
    <row r="282" spans="1:12" ht="15.75" x14ac:dyDescent="0.25">
      <c r="A282" s="11">
        <v>4880</v>
      </c>
      <c r="B282" s="8"/>
      <c r="C282" s="9" t="s">
        <v>30</v>
      </c>
      <c r="D282" s="10">
        <v>91.360847317333338</v>
      </c>
      <c r="E282" s="12">
        <f>D282*(1-'[1]Discounts page'!D$10)</f>
        <v>50.248466024533343</v>
      </c>
      <c r="F282" s="10">
        <v>82.224762585600004</v>
      </c>
      <c r="G282" s="12">
        <f>F282*(1-'[1]Discounts page'!D$10)</f>
        <v>45.223619422080006</v>
      </c>
      <c r="H282" s="10">
        <v>77.65672021973333</v>
      </c>
      <c r="I282" s="12">
        <f>H282*(1-'[1]Discounts page'!D$10)</f>
        <v>42.711196120853337</v>
      </c>
      <c r="J282" s="47">
        <f t="shared" si="13"/>
        <v>81</v>
      </c>
      <c r="K282" s="48">
        <f t="shared" si="12"/>
        <v>71</v>
      </c>
      <c r="L282" s="49">
        <f t="shared" si="14"/>
        <v>65</v>
      </c>
    </row>
    <row r="283" spans="1:12" ht="15.75" x14ac:dyDescent="0.25">
      <c r="A283" s="11">
        <v>5185</v>
      </c>
      <c r="B283" s="8"/>
      <c r="C283" s="9" t="s">
        <v>30</v>
      </c>
      <c r="D283" s="10">
        <v>96.070169344000007</v>
      </c>
      <c r="E283" s="12">
        <f>D283*(1-'[1]Discounts page'!D$10)</f>
        <v>52.838593139200007</v>
      </c>
      <c r="F283" s="10">
        <v>86.463152409600013</v>
      </c>
      <c r="G283" s="12">
        <f>F283*(1-'[1]Discounts page'!D$10)</f>
        <v>47.55473382528001</v>
      </c>
      <c r="H283" s="10">
        <v>81.65964394240001</v>
      </c>
      <c r="I283" s="12">
        <f>H283*(1-'[1]Discounts page'!D$10)</f>
        <v>44.912804168320008</v>
      </c>
      <c r="J283" s="47">
        <f t="shared" si="13"/>
        <v>85</v>
      </c>
      <c r="K283" s="48">
        <f t="shared" si="12"/>
        <v>74</v>
      </c>
      <c r="L283" s="49">
        <f t="shared" si="14"/>
        <v>68</v>
      </c>
    </row>
    <row r="284" spans="1:12" ht="15.75" x14ac:dyDescent="0.25">
      <c r="A284" s="11">
        <v>5490</v>
      </c>
      <c r="B284" s="8"/>
      <c r="C284" s="9" t="s">
        <v>30</v>
      </c>
      <c r="D284" s="10">
        <v>100.77949137066665</v>
      </c>
      <c r="E284" s="12">
        <f>D284*(1-'[1]Discounts page'!D$10)</f>
        <v>55.428720253866658</v>
      </c>
      <c r="F284" s="10">
        <v>90.70154223359998</v>
      </c>
      <c r="G284" s="12">
        <f>F284*(1-'[1]Discounts page'!D$10)</f>
        <v>49.885848228479993</v>
      </c>
      <c r="H284" s="10">
        <v>85.662567665066646</v>
      </c>
      <c r="I284" s="12">
        <f>H284*(1-'[1]Discounts page'!D$10)</f>
        <v>47.114412215786658</v>
      </c>
      <c r="J284" s="47">
        <f t="shared" si="13"/>
        <v>89</v>
      </c>
      <c r="K284" s="48">
        <f t="shared" si="12"/>
        <v>78</v>
      </c>
      <c r="L284" s="49">
        <f t="shared" si="14"/>
        <v>71</v>
      </c>
    </row>
    <row r="285" spans="1:12" ht="15.75" x14ac:dyDescent="0.25">
      <c r="A285" s="11">
        <v>5795</v>
      </c>
      <c r="B285" s="8"/>
      <c r="C285" s="9" t="s">
        <v>30</v>
      </c>
      <c r="D285" s="10">
        <v>105.64579079822222</v>
      </c>
      <c r="E285" s="12">
        <f>D285*(1-'[1]Discounts page'!D$10)</f>
        <v>58.10518493902223</v>
      </c>
      <c r="F285" s="10">
        <v>95.081211718399999</v>
      </c>
      <c r="G285" s="12">
        <f>F285*(1-'[1]Discounts page'!D$10)</f>
        <v>52.294666445120001</v>
      </c>
      <c r="H285" s="10">
        <v>89.79892217848888</v>
      </c>
      <c r="I285" s="12">
        <f>H285*(1-'[1]Discounts page'!D$10)</f>
        <v>49.38940719816889</v>
      </c>
      <c r="J285" s="47">
        <f t="shared" si="13"/>
        <v>93</v>
      </c>
      <c r="K285" s="48">
        <f t="shared" si="12"/>
        <v>82</v>
      </c>
      <c r="L285" s="49">
        <f t="shared" si="14"/>
        <v>75</v>
      </c>
    </row>
    <row r="286" spans="1:12" ht="15.75" x14ac:dyDescent="0.25">
      <c r="A286" s="11">
        <v>6100</v>
      </c>
      <c r="B286" s="8"/>
      <c r="C286" s="9" t="s">
        <v>30</v>
      </c>
      <c r="D286" s="10">
        <v>110.19813542399999</v>
      </c>
      <c r="E286" s="12">
        <f>D286*(1-'[1]Discounts page'!D$10)</f>
        <v>60.608974483199994</v>
      </c>
      <c r="F286" s="10">
        <v>99.178321881599985</v>
      </c>
      <c r="G286" s="12">
        <f>F286*(1-'[1]Discounts page'!D$10)</f>
        <v>54.548077034879995</v>
      </c>
      <c r="H286" s="10">
        <v>93.668415110399991</v>
      </c>
      <c r="I286" s="12">
        <f>H286*(1-'[1]Discounts page'!D$10)</f>
        <v>51.517628310719999</v>
      </c>
      <c r="J286" s="47">
        <f t="shared" si="13"/>
        <v>97</v>
      </c>
      <c r="K286" s="48">
        <f t="shared" si="12"/>
        <v>85</v>
      </c>
      <c r="L286" s="49">
        <f t="shared" si="14"/>
        <v>78</v>
      </c>
    </row>
    <row r="287" spans="1:12" ht="15.75" x14ac:dyDescent="0.25">
      <c r="A287" s="11">
        <v>6400</v>
      </c>
      <c r="B287" s="8"/>
      <c r="C287" s="9" t="s">
        <v>30</v>
      </c>
      <c r="D287" s="10">
        <v>114.59350264888889</v>
      </c>
      <c r="E287" s="12">
        <f>D287*(1-'[1]Discounts page'!D$10)</f>
        <v>63.026426456888892</v>
      </c>
      <c r="F287" s="10">
        <v>103.134152384</v>
      </c>
      <c r="G287" s="12">
        <f>F287*(1-'[1]Discounts page'!D$10)</f>
        <v>56.723783811200008</v>
      </c>
      <c r="H287" s="10">
        <v>97.404477251555548</v>
      </c>
      <c r="I287" s="12">
        <f>H287*(1-'[1]Discounts page'!D$10)</f>
        <v>53.572462488355555</v>
      </c>
      <c r="J287" s="47">
        <f t="shared" si="13"/>
        <v>101</v>
      </c>
      <c r="K287" s="48">
        <f t="shared" si="12"/>
        <v>88</v>
      </c>
      <c r="L287" s="49">
        <f t="shared" si="14"/>
        <v>81</v>
      </c>
    </row>
    <row r="288" spans="1:12" ht="15.75" x14ac:dyDescent="0.25">
      <c r="A288" s="7" t="s">
        <v>37</v>
      </c>
      <c r="B288" s="8"/>
      <c r="C288" s="9"/>
      <c r="D288" s="10"/>
      <c r="E288" s="12"/>
      <c r="F288" s="10"/>
      <c r="G288" s="12"/>
      <c r="H288" s="10"/>
      <c r="I288" s="12"/>
      <c r="J288" s="47">
        <f t="shared" si="13"/>
        <v>0</v>
      </c>
      <c r="K288" s="48">
        <f t="shared" si="12"/>
        <v>0</v>
      </c>
      <c r="L288" s="49">
        <f t="shared" si="14"/>
        <v>0</v>
      </c>
    </row>
    <row r="289" spans="1:12" ht="15.75" x14ac:dyDescent="0.25">
      <c r="A289" s="11">
        <v>2440</v>
      </c>
      <c r="B289" s="8"/>
      <c r="C289" s="9" t="s">
        <v>30</v>
      </c>
      <c r="D289" s="10">
        <v>66.872372778666673</v>
      </c>
      <c r="E289" s="12">
        <f>D289*(1-'[1]Discounts page'!D$10)</f>
        <v>36.779805028266672</v>
      </c>
      <c r="F289" s="10">
        <v>60.185135500800008</v>
      </c>
      <c r="G289" s="12">
        <f>F289*(1-'[1]Discounts page'!D$10)</f>
        <v>33.101824525440009</v>
      </c>
      <c r="H289" s="10">
        <v>56.841516861866673</v>
      </c>
      <c r="I289" s="12">
        <f>H289*(1-'[1]Discounts page'!D$10)</f>
        <v>31.262834274026673</v>
      </c>
      <c r="J289" s="47">
        <f t="shared" si="13"/>
        <v>59</v>
      </c>
      <c r="K289" s="48">
        <f t="shared" si="12"/>
        <v>52</v>
      </c>
      <c r="L289" s="49">
        <f t="shared" si="14"/>
        <v>47</v>
      </c>
    </row>
    <row r="290" spans="1:12" ht="15.75" x14ac:dyDescent="0.25">
      <c r="A290" s="11">
        <v>2590</v>
      </c>
      <c r="B290" s="8"/>
      <c r="C290" s="9" t="s">
        <v>30</v>
      </c>
      <c r="D290" s="10">
        <v>70.011920796444443</v>
      </c>
      <c r="E290" s="12">
        <f>D290*(1-'[1]Discounts page'!D$10)</f>
        <v>38.506556438044448</v>
      </c>
      <c r="F290" s="10">
        <v>63.010728716800003</v>
      </c>
      <c r="G290" s="12">
        <f>F290*(1-'[1]Discounts page'!D$10)</f>
        <v>34.655900794240004</v>
      </c>
      <c r="H290" s="10">
        <v>59.510132676977776</v>
      </c>
      <c r="I290" s="12">
        <f>H290*(1-'[1]Discounts page'!D$10)</f>
        <v>32.730572972337782</v>
      </c>
      <c r="J290" s="47">
        <f t="shared" si="13"/>
        <v>62</v>
      </c>
      <c r="K290" s="48">
        <f t="shared" si="12"/>
        <v>54</v>
      </c>
      <c r="L290" s="49">
        <f t="shared" si="14"/>
        <v>50</v>
      </c>
    </row>
    <row r="291" spans="1:12" ht="15.75" x14ac:dyDescent="0.25">
      <c r="A291" s="11">
        <v>2745</v>
      </c>
      <c r="B291" s="8"/>
      <c r="C291" s="9" t="s">
        <v>30</v>
      </c>
      <c r="D291" s="10">
        <v>72.523559210666676</v>
      </c>
      <c r="E291" s="12">
        <f>D291*(1-'[1]Discounts page'!D$10)</f>
        <v>39.887957565866678</v>
      </c>
      <c r="F291" s="10">
        <v>65.27120328960001</v>
      </c>
      <c r="G291" s="12">
        <f>F291*(1-'[1]Discounts page'!D$10)</f>
        <v>35.89916180928001</v>
      </c>
      <c r="H291" s="10">
        <v>61.645025329066669</v>
      </c>
      <c r="I291" s="12">
        <f>H291*(1-'[1]Discounts page'!D$10)</f>
        <v>33.904763930986668</v>
      </c>
      <c r="J291" s="47">
        <f t="shared" si="13"/>
        <v>64</v>
      </c>
      <c r="K291" s="48">
        <f t="shared" si="12"/>
        <v>56</v>
      </c>
      <c r="L291" s="49">
        <f t="shared" si="14"/>
        <v>51</v>
      </c>
    </row>
    <row r="292" spans="1:12" ht="15.75" x14ac:dyDescent="0.25">
      <c r="A292" s="11">
        <v>2895</v>
      </c>
      <c r="B292" s="8"/>
      <c r="C292" s="9" t="s">
        <v>30</v>
      </c>
      <c r="D292" s="10">
        <v>75.663107228444446</v>
      </c>
      <c r="E292" s="12">
        <f>D292*(1-'[1]Discounts page'!D$10)</f>
        <v>41.614708975644447</v>
      </c>
      <c r="F292" s="10">
        <v>68.096796505599997</v>
      </c>
      <c r="G292" s="12">
        <f>F292*(1-'[1]Discounts page'!D$10)</f>
        <v>37.453238078079998</v>
      </c>
      <c r="H292" s="10">
        <v>64.31364114417778</v>
      </c>
      <c r="I292" s="12">
        <f>H292*(1-'[1]Discounts page'!D$10)</f>
        <v>35.372502629297784</v>
      </c>
      <c r="J292" s="47">
        <f t="shared" si="13"/>
        <v>67</v>
      </c>
      <c r="K292" s="48">
        <f t="shared" si="12"/>
        <v>59</v>
      </c>
      <c r="L292" s="49">
        <f t="shared" si="14"/>
        <v>54</v>
      </c>
    </row>
    <row r="293" spans="1:12" ht="15.75" x14ac:dyDescent="0.25">
      <c r="A293" s="11">
        <v>3050</v>
      </c>
      <c r="B293" s="8"/>
      <c r="C293" s="9" t="s">
        <v>30</v>
      </c>
      <c r="D293" s="10">
        <v>78.488700444444461</v>
      </c>
      <c r="E293" s="12">
        <f>D293*(1-'[1]Discounts page'!D$10)</f>
        <v>43.168785244444457</v>
      </c>
      <c r="F293" s="10">
        <v>70.639830400000022</v>
      </c>
      <c r="G293" s="12">
        <f>F293*(1-'[1]Discounts page'!D$10)</f>
        <v>38.851906720000017</v>
      </c>
      <c r="H293" s="10">
        <v>66.715395377777796</v>
      </c>
      <c r="I293" s="12">
        <f>H293*(1-'[1]Discounts page'!D$10)</f>
        <v>36.693467457777793</v>
      </c>
      <c r="J293" s="47">
        <f t="shared" si="13"/>
        <v>70</v>
      </c>
      <c r="K293" s="48">
        <f t="shared" si="12"/>
        <v>61</v>
      </c>
      <c r="L293" s="49">
        <f t="shared" si="14"/>
        <v>56</v>
      </c>
    </row>
    <row r="294" spans="1:12" ht="15.75" x14ac:dyDescent="0.25">
      <c r="A294" s="11">
        <v>3200</v>
      </c>
      <c r="B294" s="8"/>
      <c r="C294" s="9" t="s">
        <v>30</v>
      </c>
      <c r="D294" s="10">
        <v>81.471271061333326</v>
      </c>
      <c r="E294" s="12">
        <f>D294*(1-'[1]Discounts page'!D$10)</f>
        <v>44.809199083733333</v>
      </c>
      <c r="F294" s="10">
        <v>73.3241439552</v>
      </c>
      <c r="G294" s="12">
        <f>F294*(1-'[1]Discounts page'!D$10)</f>
        <v>40.328279175360002</v>
      </c>
      <c r="H294" s="10">
        <v>69.250580402133323</v>
      </c>
      <c r="I294" s="12">
        <f>H294*(1-'[1]Discounts page'!D$10)</f>
        <v>38.087819221173334</v>
      </c>
      <c r="J294" s="47">
        <f t="shared" si="13"/>
        <v>72</v>
      </c>
      <c r="K294" s="48">
        <f t="shared" si="12"/>
        <v>63</v>
      </c>
      <c r="L294" s="49">
        <f t="shared" si="14"/>
        <v>58</v>
      </c>
    </row>
    <row r="295" spans="1:12" ht="15.75" x14ac:dyDescent="0.25">
      <c r="A295" s="11">
        <v>3355</v>
      </c>
      <c r="B295" s="8"/>
      <c r="C295" s="9" t="s">
        <v>30</v>
      </c>
      <c r="D295" s="10">
        <v>84.453841678222247</v>
      </c>
      <c r="E295" s="12">
        <f>D295*(1-'[1]Discounts page'!D$10)</f>
        <v>46.449612923022237</v>
      </c>
      <c r="F295" s="10">
        <v>76.008457510400021</v>
      </c>
      <c r="G295" s="12">
        <f>F295*(1-'[1]Discounts page'!D$10)</f>
        <v>41.804651630720016</v>
      </c>
      <c r="H295" s="10">
        <v>71.785765426488908</v>
      </c>
      <c r="I295" s="12">
        <f>H295*(1-'[1]Discounts page'!D$10)</f>
        <v>39.482170984568903</v>
      </c>
      <c r="J295" s="47">
        <f t="shared" si="13"/>
        <v>75</v>
      </c>
      <c r="K295" s="48">
        <f t="shared" si="12"/>
        <v>65</v>
      </c>
      <c r="L295" s="49">
        <f t="shared" si="14"/>
        <v>60</v>
      </c>
    </row>
    <row r="296" spans="1:12" ht="15.75" x14ac:dyDescent="0.25">
      <c r="A296" s="11">
        <v>3510</v>
      </c>
      <c r="B296" s="8"/>
      <c r="C296" s="9" t="s">
        <v>30</v>
      </c>
      <c r="D296" s="10">
        <v>87.907344497777785</v>
      </c>
      <c r="E296" s="12">
        <f>D296*(1-'[1]Discounts page'!D$10)</f>
        <v>48.349039473777786</v>
      </c>
      <c r="F296" s="10">
        <v>79.116610048000013</v>
      </c>
      <c r="G296" s="12">
        <f>F296*(1-'[1]Discounts page'!D$10)</f>
        <v>43.514135526400011</v>
      </c>
      <c r="H296" s="10">
        <v>74.721242823111112</v>
      </c>
      <c r="I296" s="12">
        <f>H296*(1-'[1]Discounts page'!D$10)</f>
        <v>41.096683552711113</v>
      </c>
      <c r="J296" s="47">
        <f t="shared" si="13"/>
        <v>78</v>
      </c>
      <c r="K296" s="48">
        <f t="shared" si="12"/>
        <v>68</v>
      </c>
      <c r="L296" s="49">
        <f t="shared" si="14"/>
        <v>62</v>
      </c>
    </row>
    <row r="297" spans="1:12" ht="15.75" x14ac:dyDescent="0.25">
      <c r="A297" s="11">
        <v>3660</v>
      </c>
      <c r="B297" s="8"/>
      <c r="C297" s="9" t="s">
        <v>30</v>
      </c>
      <c r="D297" s="10">
        <v>90.418982912000004</v>
      </c>
      <c r="E297" s="12">
        <f>D297*(1-'[1]Discounts page'!D$10)</f>
        <v>49.730440601600009</v>
      </c>
      <c r="F297" s="10">
        <v>81.377084620800005</v>
      </c>
      <c r="G297" s="12">
        <f>F297*(1-'[1]Discounts page'!D$10)</f>
        <v>44.757396541440009</v>
      </c>
      <c r="H297" s="10">
        <v>76.856135475200006</v>
      </c>
      <c r="I297" s="12">
        <f>H297*(1-'[1]Discounts page'!D$10)</f>
        <v>42.270874511360006</v>
      </c>
      <c r="J297" s="47">
        <f t="shared" si="13"/>
        <v>80</v>
      </c>
      <c r="K297" s="48">
        <f t="shared" si="12"/>
        <v>70</v>
      </c>
      <c r="L297" s="49">
        <f t="shared" si="14"/>
        <v>64</v>
      </c>
    </row>
    <row r="298" spans="1:12" ht="15.75" x14ac:dyDescent="0.25">
      <c r="A298" s="11">
        <v>3810</v>
      </c>
      <c r="B298" s="8"/>
      <c r="C298" s="9" t="s">
        <v>30</v>
      </c>
      <c r="D298" s="10">
        <v>93.244576128000006</v>
      </c>
      <c r="E298" s="12">
        <f>D298*(1-'[1]Discounts page'!D$10)</f>
        <v>51.284516870400005</v>
      </c>
      <c r="F298" s="10">
        <v>83.920118515200002</v>
      </c>
      <c r="G298" s="12">
        <f>F298*(1-'[1]Discounts page'!D$10)</f>
        <v>46.156065183360006</v>
      </c>
      <c r="H298" s="10">
        <v>79.257889708800008</v>
      </c>
      <c r="I298" s="12">
        <f>H298*(1-'[1]Discounts page'!D$10)</f>
        <v>43.591839339840007</v>
      </c>
      <c r="J298" s="47">
        <f t="shared" si="13"/>
        <v>83</v>
      </c>
      <c r="K298" s="48">
        <f t="shared" si="12"/>
        <v>72</v>
      </c>
      <c r="L298" s="49">
        <f t="shared" si="14"/>
        <v>66</v>
      </c>
    </row>
    <row r="299" spans="1:12" ht="15.75" x14ac:dyDescent="0.25">
      <c r="A299" s="11">
        <v>3965</v>
      </c>
      <c r="B299" s="8"/>
      <c r="C299" s="9" t="s">
        <v>30</v>
      </c>
      <c r="D299" s="10">
        <v>96.070169344000007</v>
      </c>
      <c r="E299" s="12">
        <f>D299*(1-'[1]Discounts page'!D$10)</f>
        <v>52.838593139200007</v>
      </c>
      <c r="F299" s="10">
        <v>86.463152409600013</v>
      </c>
      <c r="G299" s="12">
        <f>F299*(1-'[1]Discounts page'!D$10)</f>
        <v>47.55473382528001</v>
      </c>
      <c r="H299" s="10">
        <v>81.65964394240001</v>
      </c>
      <c r="I299" s="12">
        <f>H299*(1-'[1]Discounts page'!D$10)</f>
        <v>44.912804168320008</v>
      </c>
      <c r="J299" s="47">
        <f t="shared" si="13"/>
        <v>85</v>
      </c>
      <c r="K299" s="48">
        <f t="shared" si="12"/>
        <v>74</v>
      </c>
      <c r="L299" s="49">
        <f t="shared" si="14"/>
        <v>68</v>
      </c>
    </row>
    <row r="300" spans="1:12" ht="15.75" x14ac:dyDescent="0.25">
      <c r="A300" s="11">
        <v>4115</v>
      </c>
      <c r="B300" s="8"/>
      <c r="C300" s="9" t="s">
        <v>30</v>
      </c>
      <c r="D300" s="10">
        <v>99.052739960888886</v>
      </c>
      <c r="E300" s="12">
        <f>D300*(1-'[1]Discounts page'!D$10)</f>
        <v>54.47900697848889</v>
      </c>
      <c r="F300" s="10">
        <v>89.147465964800006</v>
      </c>
      <c r="G300" s="12">
        <f>F300*(1-'[1]Discounts page'!D$10)</f>
        <v>49.03110628064001</v>
      </c>
      <c r="H300" s="10">
        <v>84.194828966755551</v>
      </c>
      <c r="I300" s="12">
        <f>H300*(1-'[1]Discounts page'!D$10)</f>
        <v>46.307155931715556</v>
      </c>
      <c r="J300" s="47">
        <f t="shared" si="13"/>
        <v>88</v>
      </c>
      <c r="K300" s="48">
        <f t="shared" si="12"/>
        <v>76</v>
      </c>
      <c r="L300" s="49">
        <f t="shared" si="14"/>
        <v>70</v>
      </c>
    </row>
    <row r="301" spans="1:12" ht="15.75" x14ac:dyDescent="0.25">
      <c r="A301" s="11">
        <v>4270</v>
      </c>
      <c r="B301" s="8"/>
      <c r="C301" s="9" t="s">
        <v>30</v>
      </c>
      <c r="D301" s="10">
        <v>102.19228797866667</v>
      </c>
      <c r="E301" s="12">
        <f>D301*(1-'[1]Discounts page'!D$10)</f>
        <v>56.205758388266673</v>
      </c>
      <c r="F301" s="10">
        <v>91.973059180800007</v>
      </c>
      <c r="G301" s="12">
        <f>F301*(1-'[1]Discounts page'!D$10)</f>
        <v>50.585182549440006</v>
      </c>
      <c r="H301" s="10">
        <v>86.863444781866662</v>
      </c>
      <c r="I301" s="12">
        <f>H301*(1-'[1]Discounts page'!D$10)</f>
        <v>47.774894630026665</v>
      </c>
      <c r="J301" s="47">
        <f t="shared" si="13"/>
        <v>90</v>
      </c>
      <c r="K301" s="48">
        <f t="shared" si="12"/>
        <v>79</v>
      </c>
      <c r="L301" s="49">
        <f t="shared" si="14"/>
        <v>72</v>
      </c>
    </row>
    <row r="302" spans="1:12" ht="15.75" x14ac:dyDescent="0.25">
      <c r="A302" s="11">
        <v>4420</v>
      </c>
      <c r="B302" s="8"/>
      <c r="C302" s="9" t="s">
        <v>30</v>
      </c>
      <c r="D302" s="10">
        <v>105.17485859555555</v>
      </c>
      <c r="E302" s="12">
        <f>D302*(1-'[1]Discounts page'!D$10)</f>
        <v>57.846172227555556</v>
      </c>
      <c r="F302" s="10">
        <v>94.657372735999999</v>
      </c>
      <c r="G302" s="12">
        <f>F302*(1-'[1]Discounts page'!D$10)</f>
        <v>52.061555004800006</v>
      </c>
      <c r="H302" s="10">
        <v>89.398629806222218</v>
      </c>
      <c r="I302" s="12">
        <f>H302*(1-'[1]Discounts page'!D$10)</f>
        <v>49.16924639342222</v>
      </c>
      <c r="J302" s="47">
        <f t="shared" si="13"/>
        <v>93</v>
      </c>
      <c r="K302" s="48">
        <f t="shared" si="12"/>
        <v>81</v>
      </c>
      <c r="L302" s="49">
        <f t="shared" si="14"/>
        <v>74</v>
      </c>
    </row>
    <row r="303" spans="1:12" ht="15.75" x14ac:dyDescent="0.25">
      <c r="A303" s="11">
        <v>4575</v>
      </c>
      <c r="B303" s="8"/>
      <c r="C303" s="9" t="s">
        <v>30</v>
      </c>
      <c r="D303" s="10">
        <v>107.84347441066666</v>
      </c>
      <c r="E303" s="12">
        <f>D303*(1-'[1]Discounts page'!D$10)</f>
        <v>59.313910925866665</v>
      </c>
      <c r="F303" s="10">
        <v>97.059126969600001</v>
      </c>
      <c r="G303" s="12">
        <f>F303*(1-'[1]Discounts page'!D$10)</f>
        <v>53.382519833280007</v>
      </c>
      <c r="H303" s="10">
        <v>91.666953249066651</v>
      </c>
      <c r="I303" s="12">
        <f>H303*(1-'[1]Discounts page'!D$10)</f>
        <v>50.41682428698666</v>
      </c>
      <c r="J303" s="47">
        <f t="shared" si="13"/>
        <v>95</v>
      </c>
      <c r="K303" s="48">
        <f t="shared" si="12"/>
        <v>83</v>
      </c>
      <c r="L303" s="49">
        <f t="shared" si="14"/>
        <v>76</v>
      </c>
    </row>
    <row r="304" spans="1:12" ht="15.75" x14ac:dyDescent="0.25">
      <c r="A304" s="11">
        <v>4725</v>
      </c>
      <c r="B304" s="8"/>
      <c r="C304" s="9" t="s">
        <v>30</v>
      </c>
      <c r="D304" s="10">
        <v>110.82604502755555</v>
      </c>
      <c r="E304" s="12">
        <f>D304*(1-'[1]Discounts page'!D$10)</f>
        <v>60.954324765155555</v>
      </c>
      <c r="F304" s="10">
        <v>99.743440524799993</v>
      </c>
      <c r="G304" s="12">
        <f>F304*(1-'[1]Discounts page'!D$10)</f>
        <v>54.85889228864</v>
      </c>
      <c r="H304" s="10">
        <v>94.202138273422221</v>
      </c>
      <c r="I304" s="12">
        <f>H304*(1-'[1]Discounts page'!D$10)</f>
        <v>51.811176050382223</v>
      </c>
      <c r="J304" s="47">
        <f t="shared" si="13"/>
        <v>98</v>
      </c>
      <c r="K304" s="48">
        <f t="shared" si="12"/>
        <v>86</v>
      </c>
      <c r="L304" s="49">
        <f t="shared" si="14"/>
        <v>78</v>
      </c>
    </row>
    <row r="305" spans="1:12" ht="15.75" x14ac:dyDescent="0.25">
      <c r="A305" s="11">
        <v>4880</v>
      </c>
      <c r="B305" s="8"/>
      <c r="C305" s="9" t="s">
        <v>30</v>
      </c>
      <c r="D305" s="10">
        <v>113.80861564444446</v>
      </c>
      <c r="E305" s="12">
        <f>D305*(1-'[1]Discounts page'!D$10)</f>
        <v>62.594738604444458</v>
      </c>
      <c r="F305" s="10">
        <v>102.42775408000001</v>
      </c>
      <c r="G305" s="12">
        <f>F305*(1-'[1]Discounts page'!D$10)</f>
        <v>56.335264744000014</v>
      </c>
      <c r="H305" s="10">
        <v>96.737323297777792</v>
      </c>
      <c r="I305" s="12">
        <f>H305*(1-'[1]Discounts page'!D$10)</f>
        <v>53.205527813777792</v>
      </c>
      <c r="J305" s="47">
        <f t="shared" si="13"/>
        <v>101</v>
      </c>
      <c r="K305" s="48">
        <f t="shared" si="12"/>
        <v>88</v>
      </c>
      <c r="L305" s="49">
        <f t="shared" si="14"/>
        <v>80</v>
      </c>
    </row>
    <row r="306" spans="1:12" ht="15.75" x14ac:dyDescent="0.25">
      <c r="A306" s="11">
        <v>5030</v>
      </c>
      <c r="B306" s="8"/>
      <c r="C306" s="9" t="s">
        <v>30</v>
      </c>
      <c r="D306" s="10">
        <v>116.79118626133332</v>
      </c>
      <c r="E306" s="12">
        <f>D306*(1-'[1]Discounts page'!D$10)</f>
        <v>64.235152443733327</v>
      </c>
      <c r="F306" s="10">
        <v>105.11206763519999</v>
      </c>
      <c r="G306" s="12">
        <f>F306*(1-'[1]Discounts page'!D$10)</f>
        <v>57.81163719936</v>
      </c>
      <c r="H306" s="10">
        <v>99.272508322133319</v>
      </c>
      <c r="I306" s="12">
        <f>H306*(1-'[1]Discounts page'!D$10)</f>
        <v>54.599879577173333</v>
      </c>
      <c r="J306" s="47">
        <f t="shared" si="13"/>
        <v>103</v>
      </c>
      <c r="K306" s="48">
        <f t="shared" si="12"/>
        <v>90</v>
      </c>
      <c r="L306" s="49">
        <f t="shared" si="14"/>
        <v>82</v>
      </c>
    </row>
    <row r="307" spans="1:12" ht="15.75" x14ac:dyDescent="0.25">
      <c r="A307" s="11">
        <v>5185</v>
      </c>
      <c r="B307" s="8"/>
      <c r="C307" s="9" t="s">
        <v>30</v>
      </c>
      <c r="D307" s="10">
        <v>119.77375687822222</v>
      </c>
      <c r="E307" s="12">
        <f>D307*(1-'[1]Discounts page'!D$10)</f>
        <v>65.875566283022224</v>
      </c>
      <c r="F307" s="10">
        <v>107.7963811904</v>
      </c>
      <c r="G307" s="12">
        <f>F307*(1-'[1]Discounts page'!D$10)</f>
        <v>59.288009654720007</v>
      </c>
      <c r="H307" s="10">
        <v>101.80769334648888</v>
      </c>
      <c r="I307" s="12">
        <f>H307*(1-'[1]Discounts page'!D$10)</f>
        <v>55.994231340568888</v>
      </c>
      <c r="J307" s="47">
        <f t="shared" si="13"/>
        <v>106</v>
      </c>
      <c r="K307" s="48">
        <f t="shared" si="12"/>
        <v>92</v>
      </c>
      <c r="L307" s="49">
        <f t="shared" si="14"/>
        <v>84</v>
      </c>
    </row>
    <row r="308" spans="1:12" ht="15.75" x14ac:dyDescent="0.25">
      <c r="A308" s="11">
        <v>5335</v>
      </c>
      <c r="B308" s="8"/>
      <c r="C308" s="9" t="s">
        <v>30</v>
      </c>
      <c r="D308" s="10">
        <v>122.59935009422225</v>
      </c>
      <c r="E308" s="12">
        <f>D308*(1-'[1]Discounts page'!D$10)</f>
        <v>67.429642551822241</v>
      </c>
      <c r="F308" s="10">
        <v>110.33941508480002</v>
      </c>
      <c r="G308" s="12">
        <f>F308*(1-'[1]Discounts page'!D$10)</f>
        <v>60.686678296640018</v>
      </c>
      <c r="H308" s="10">
        <v>104.20944758008891</v>
      </c>
      <c r="I308" s="12">
        <f>H308*(1-'[1]Discounts page'!D$10)</f>
        <v>57.315196169048903</v>
      </c>
      <c r="J308" s="47">
        <f t="shared" si="13"/>
        <v>108</v>
      </c>
      <c r="K308" s="48">
        <f t="shared" si="12"/>
        <v>95</v>
      </c>
      <c r="L308" s="49">
        <f t="shared" si="14"/>
        <v>86</v>
      </c>
    </row>
    <row r="309" spans="1:12" ht="15.75" x14ac:dyDescent="0.25">
      <c r="A309" s="11">
        <v>5490</v>
      </c>
      <c r="B309" s="8"/>
      <c r="C309" s="9" t="s">
        <v>30</v>
      </c>
      <c r="D309" s="10">
        <v>125.58192071111112</v>
      </c>
      <c r="E309" s="12">
        <f>D309*(1-'[1]Discounts page'!D$10)</f>
        <v>69.070056391111123</v>
      </c>
      <c r="F309" s="10">
        <v>113.02372864000002</v>
      </c>
      <c r="G309" s="12">
        <f>F309*(1-'[1]Discounts page'!D$10)</f>
        <v>62.163050752000011</v>
      </c>
      <c r="H309" s="10">
        <v>106.74463260444445</v>
      </c>
      <c r="I309" s="12">
        <f>H309*(1-'[1]Discounts page'!D$10)</f>
        <v>58.709547932444451</v>
      </c>
      <c r="J309" s="47">
        <f t="shared" si="13"/>
        <v>111</v>
      </c>
      <c r="K309" s="48">
        <f t="shared" si="12"/>
        <v>97</v>
      </c>
      <c r="L309" s="49">
        <f t="shared" si="14"/>
        <v>89</v>
      </c>
    </row>
    <row r="310" spans="1:12" ht="15.75" x14ac:dyDescent="0.25">
      <c r="A310" s="11">
        <v>5640</v>
      </c>
      <c r="B310" s="8"/>
      <c r="C310" s="9" t="s">
        <v>30</v>
      </c>
      <c r="D310" s="10">
        <v>128.56449132799997</v>
      </c>
      <c r="E310" s="12">
        <f>D310*(1-'[1]Discounts page'!D$10)</f>
        <v>70.710470230399991</v>
      </c>
      <c r="F310" s="10">
        <v>115.70804219519998</v>
      </c>
      <c r="G310" s="12">
        <f>F310*(1-'[1]Discounts page'!D$10)</f>
        <v>63.639423207359997</v>
      </c>
      <c r="H310" s="10">
        <v>109.27981762879998</v>
      </c>
      <c r="I310" s="12">
        <f>H310*(1-'[1]Discounts page'!D$10)</f>
        <v>60.103899695839992</v>
      </c>
      <c r="J310" s="47">
        <f t="shared" si="13"/>
        <v>114</v>
      </c>
      <c r="K310" s="48">
        <f t="shared" si="12"/>
        <v>99</v>
      </c>
      <c r="L310" s="49">
        <f t="shared" si="14"/>
        <v>91</v>
      </c>
    </row>
    <row r="311" spans="1:12" ht="15.75" x14ac:dyDescent="0.25">
      <c r="A311" s="11">
        <v>5795</v>
      </c>
      <c r="B311" s="8"/>
      <c r="C311" s="9" t="s">
        <v>30</v>
      </c>
      <c r="D311" s="10">
        <v>131.70403934577777</v>
      </c>
      <c r="E311" s="12">
        <f>D311*(1-'[1]Discounts page'!D$10)</f>
        <v>72.437221640177782</v>
      </c>
      <c r="F311" s="10">
        <v>118.5336354112</v>
      </c>
      <c r="G311" s="12">
        <f>F311*(1-'[1]Discounts page'!D$10)</f>
        <v>65.19349947616</v>
      </c>
      <c r="H311" s="10">
        <v>111.9484334439111</v>
      </c>
      <c r="I311" s="12">
        <f>H311*(1-'[1]Discounts page'!D$10)</f>
        <v>61.571638394151108</v>
      </c>
      <c r="J311" s="47">
        <f t="shared" si="13"/>
        <v>116</v>
      </c>
      <c r="K311" s="48">
        <f t="shared" si="12"/>
        <v>102</v>
      </c>
      <c r="L311" s="49">
        <f t="shared" si="14"/>
        <v>93</v>
      </c>
    </row>
    <row r="312" spans="1:12" ht="15.75" x14ac:dyDescent="0.25">
      <c r="A312" s="11">
        <v>5945</v>
      </c>
      <c r="B312" s="8"/>
      <c r="C312" s="9" t="s">
        <v>30</v>
      </c>
      <c r="D312" s="10">
        <v>134.37265516088888</v>
      </c>
      <c r="E312" s="12">
        <f>D312*(1-'[1]Discounts page'!D$10)</f>
        <v>73.904960338488891</v>
      </c>
      <c r="F312" s="10">
        <v>120.9353896448</v>
      </c>
      <c r="G312" s="12">
        <f>F312*(1-'[1]Discounts page'!D$10)</f>
        <v>66.514464304640001</v>
      </c>
      <c r="H312" s="10">
        <v>114.21675688675555</v>
      </c>
      <c r="I312" s="12">
        <f>H312*(1-'[1]Discounts page'!D$10)</f>
        <v>62.819216287715555</v>
      </c>
      <c r="J312" s="47">
        <f t="shared" si="13"/>
        <v>119</v>
      </c>
      <c r="K312" s="48">
        <f t="shared" si="12"/>
        <v>104</v>
      </c>
      <c r="L312" s="49">
        <f t="shared" si="14"/>
        <v>95</v>
      </c>
    </row>
    <row r="313" spans="1:12" ht="15.75" x14ac:dyDescent="0.25">
      <c r="A313" s="11">
        <v>6100</v>
      </c>
      <c r="B313" s="8"/>
      <c r="C313" s="9" t="s">
        <v>30</v>
      </c>
      <c r="D313" s="10">
        <v>136.72731617422221</v>
      </c>
      <c r="E313" s="12">
        <f>D313*(1-'[1]Discounts page'!D$10)</f>
        <v>75.200023895822227</v>
      </c>
      <c r="F313" s="10">
        <v>123.05458455679999</v>
      </c>
      <c r="G313" s="12">
        <f>F313*(1-'[1]Discounts page'!D$10)</f>
        <v>67.680021506239996</v>
      </c>
      <c r="H313" s="10">
        <v>116.21821874808887</v>
      </c>
      <c r="I313" s="12">
        <f>H313*(1-'[1]Discounts page'!D$10)</f>
        <v>63.920020311448887</v>
      </c>
      <c r="J313" s="47">
        <f t="shared" si="13"/>
        <v>121</v>
      </c>
      <c r="K313" s="48">
        <f t="shared" si="12"/>
        <v>105</v>
      </c>
      <c r="L313" s="49">
        <f t="shared" si="14"/>
        <v>96</v>
      </c>
    </row>
    <row r="314" spans="1:12" ht="15.75" x14ac:dyDescent="0.25">
      <c r="A314" s="11">
        <v>6250</v>
      </c>
      <c r="B314" s="8"/>
      <c r="C314" s="9" t="s">
        <v>30</v>
      </c>
      <c r="D314" s="10">
        <v>140.33779639466667</v>
      </c>
      <c r="E314" s="12">
        <f>D314*(1-'[1]Discounts page'!D$10)</f>
        <v>77.18578801706667</v>
      </c>
      <c r="F314" s="10">
        <v>126.30401675520001</v>
      </c>
      <c r="G314" s="12">
        <f>F314*(1-'[1]Discounts page'!D$10)</f>
        <v>69.467209215360015</v>
      </c>
      <c r="H314" s="10">
        <v>119.28712693546666</v>
      </c>
      <c r="I314" s="12">
        <f>H314*(1-'[1]Discounts page'!D$10)</f>
        <v>65.607919814506673</v>
      </c>
      <c r="J314" s="47">
        <f t="shared" si="13"/>
        <v>124</v>
      </c>
      <c r="K314" s="48">
        <f t="shared" si="12"/>
        <v>108</v>
      </c>
      <c r="L314" s="49">
        <f t="shared" si="14"/>
        <v>99</v>
      </c>
    </row>
    <row r="315" spans="1:12" ht="15.75" x14ac:dyDescent="0.25">
      <c r="A315" s="11">
        <v>6400</v>
      </c>
      <c r="B315" s="8"/>
      <c r="C315" s="9" t="s">
        <v>30</v>
      </c>
      <c r="D315" s="10">
        <v>143.16338961066666</v>
      </c>
      <c r="E315" s="12">
        <f>D315*(1-'[1]Discounts page'!D$10)</f>
        <v>78.739864285866673</v>
      </c>
      <c r="F315" s="10">
        <v>128.84705064959999</v>
      </c>
      <c r="G315" s="12">
        <f>F315*(1-'[1]Discounts page'!D$10)</f>
        <v>70.865877857279997</v>
      </c>
      <c r="H315" s="10">
        <v>121.68888116906665</v>
      </c>
      <c r="I315" s="12">
        <f>H315*(1-'[1]Discounts page'!D$10)</f>
        <v>66.92888464298666</v>
      </c>
      <c r="J315" s="47">
        <f t="shared" si="13"/>
        <v>126</v>
      </c>
      <c r="K315" s="48">
        <f t="shared" si="12"/>
        <v>110</v>
      </c>
      <c r="L315" s="49">
        <f t="shared" si="14"/>
        <v>101</v>
      </c>
    </row>
    <row r="316" spans="1:12" ht="15.75" x14ac:dyDescent="0.25">
      <c r="A316" s="11" t="s">
        <v>14</v>
      </c>
      <c r="B316" s="8"/>
      <c r="C316" s="9" t="s">
        <v>30</v>
      </c>
      <c r="D316" s="10">
        <v>146.30293762844443</v>
      </c>
      <c r="E316" s="12">
        <f>D316*(1-'[1]Discounts page'!D$10)</f>
        <v>80.466615695644435</v>
      </c>
      <c r="F316" s="10">
        <v>131.67264386559998</v>
      </c>
      <c r="G316" s="12">
        <f>F316*(1-'[1]Discounts page'!D$10)</f>
        <v>72.41995412608</v>
      </c>
      <c r="H316" s="10">
        <v>124.35749698417776</v>
      </c>
      <c r="I316" s="12">
        <f>H316*(1-'[1]Discounts page'!D$10)</f>
        <v>68.396623341297769</v>
      </c>
      <c r="J316" s="47">
        <f t="shared" si="13"/>
        <v>129</v>
      </c>
      <c r="K316" s="48">
        <f t="shared" si="12"/>
        <v>113</v>
      </c>
      <c r="L316" s="49">
        <f t="shared" si="14"/>
        <v>103</v>
      </c>
    </row>
    <row r="317" spans="1:12" ht="15.75" x14ac:dyDescent="0.25">
      <c r="A317" s="11" t="s">
        <v>15</v>
      </c>
      <c r="B317" s="8"/>
      <c r="C317" s="9" t="s">
        <v>30</v>
      </c>
      <c r="D317" s="10">
        <v>148.97155344355554</v>
      </c>
      <c r="E317" s="12">
        <f>D317*(1-'[1]Discounts page'!D$10)</f>
        <v>81.934354393955545</v>
      </c>
      <c r="F317" s="10">
        <v>134.07439809919998</v>
      </c>
      <c r="G317" s="12">
        <f>F317*(1-'[1]Discounts page'!D$10)</f>
        <v>73.740918954560001</v>
      </c>
      <c r="H317" s="10">
        <v>126.62582042702221</v>
      </c>
      <c r="I317" s="12">
        <f>H317*(1-'[1]Discounts page'!D$10)</f>
        <v>69.644201234862223</v>
      </c>
      <c r="J317" s="47">
        <f t="shared" si="13"/>
        <v>132</v>
      </c>
      <c r="K317" s="48">
        <f t="shared" si="12"/>
        <v>115</v>
      </c>
      <c r="L317" s="49">
        <f t="shared" si="14"/>
        <v>105</v>
      </c>
    </row>
    <row r="318" spans="1:12" ht="15.75" x14ac:dyDescent="0.25">
      <c r="A318" s="11" t="s">
        <v>16</v>
      </c>
      <c r="B318" s="8"/>
      <c r="C318" s="9" t="s">
        <v>30</v>
      </c>
      <c r="D318" s="10">
        <v>151.64016925866667</v>
      </c>
      <c r="E318" s="12">
        <f>D318*(1-'[1]Discounts page'!D$10)</f>
        <v>83.402093092266682</v>
      </c>
      <c r="F318" s="10">
        <v>136.47615233280001</v>
      </c>
      <c r="G318" s="12">
        <f>F318*(1-'[1]Discounts page'!D$10)</f>
        <v>75.061883783040017</v>
      </c>
      <c r="H318" s="10">
        <v>128.89414386986667</v>
      </c>
      <c r="I318" s="12">
        <f>H318*(1-'[1]Discounts page'!D$10)</f>
        <v>70.891779128426677</v>
      </c>
      <c r="J318" s="47">
        <f t="shared" si="13"/>
        <v>134</v>
      </c>
      <c r="K318" s="48">
        <f t="shared" si="12"/>
        <v>117</v>
      </c>
      <c r="L318" s="49">
        <f t="shared" si="14"/>
        <v>107</v>
      </c>
    </row>
    <row r="319" spans="1:12" ht="15.75" x14ac:dyDescent="0.25">
      <c r="A319" s="11" t="s">
        <v>17</v>
      </c>
      <c r="B319" s="8"/>
      <c r="C319" s="9" t="s">
        <v>30</v>
      </c>
      <c r="D319" s="10">
        <v>154.77971727644442</v>
      </c>
      <c r="E319" s="12">
        <f>D319*(1-'[1]Discounts page'!D$10)</f>
        <v>85.12884450204443</v>
      </c>
      <c r="F319" s="10">
        <v>139.30174554879997</v>
      </c>
      <c r="G319" s="12">
        <f>F319*(1-'[1]Discounts page'!D$10)</f>
        <v>76.615960051839991</v>
      </c>
      <c r="H319" s="10">
        <v>131.56275968497775</v>
      </c>
      <c r="I319" s="12">
        <f>H319*(1-'[1]Discounts page'!D$10)</f>
        <v>72.359517826737772</v>
      </c>
      <c r="J319" s="47">
        <f t="shared" si="13"/>
        <v>137</v>
      </c>
      <c r="K319" s="48">
        <f t="shared" si="12"/>
        <v>119</v>
      </c>
      <c r="L319" s="49">
        <f t="shared" si="14"/>
        <v>109</v>
      </c>
    </row>
    <row r="320" spans="1:12" ht="15.75" x14ac:dyDescent="0.25">
      <c r="A320" s="11" t="s">
        <v>18</v>
      </c>
      <c r="B320" s="8"/>
      <c r="C320" s="9" t="s">
        <v>30</v>
      </c>
      <c r="D320" s="10">
        <v>157.60531049244443</v>
      </c>
      <c r="E320" s="12">
        <f>D320*(1-'[1]Discounts page'!D$10)</f>
        <v>86.682920770844447</v>
      </c>
      <c r="F320" s="10">
        <v>141.8447794432</v>
      </c>
      <c r="G320" s="12">
        <f>F320*(1-'[1]Discounts page'!D$10)</f>
        <v>78.014628693760002</v>
      </c>
      <c r="H320" s="10">
        <v>133.96451391857775</v>
      </c>
      <c r="I320" s="12">
        <f>H320*(1-'[1]Discounts page'!D$10)</f>
        <v>73.680482655217773</v>
      </c>
      <c r="J320" s="47">
        <f t="shared" si="13"/>
        <v>139</v>
      </c>
      <c r="K320" s="48">
        <f t="shared" si="12"/>
        <v>121</v>
      </c>
      <c r="L320" s="49">
        <f t="shared" si="14"/>
        <v>111</v>
      </c>
    </row>
    <row r="321" spans="1:12" ht="15.75" x14ac:dyDescent="0.25">
      <c r="A321" s="11" t="s">
        <v>19</v>
      </c>
      <c r="B321" s="8"/>
      <c r="C321" s="9" t="s">
        <v>30</v>
      </c>
      <c r="D321" s="10">
        <v>160.74485851022223</v>
      </c>
      <c r="E321" s="12">
        <f>D321*(1-'[1]Discounts page'!D$10)</f>
        <v>88.409672180622238</v>
      </c>
      <c r="F321" s="10">
        <v>144.67037265920001</v>
      </c>
      <c r="G321" s="12">
        <f>F321*(1-'[1]Discounts page'!D$10)</f>
        <v>79.56870496256002</v>
      </c>
      <c r="H321" s="10">
        <v>136.63312973368889</v>
      </c>
      <c r="I321" s="12">
        <f>H321*(1-'[1]Discounts page'!D$10)</f>
        <v>75.148221353528896</v>
      </c>
      <c r="J321" s="47">
        <f t="shared" si="13"/>
        <v>142</v>
      </c>
      <c r="K321" s="48">
        <f t="shared" si="12"/>
        <v>124</v>
      </c>
      <c r="L321" s="49">
        <f t="shared" si="14"/>
        <v>113</v>
      </c>
    </row>
    <row r="322" spans="1:12" ht="15.75" x14ac:dyDescent="0.25">
      <c r="A322" s="11" t="s">
        <v>20</v>
      </c>
      <c r="B322" s="8"/>
      <c r="C322" s="9" t="s">
        <v>30</v>
      </c>
      <c r="D322" s="10">
        <v>163.41347432533334</v>
      </c>
      <c r="E322" s="12">
        <f>D322*(1-'[1]Discounts page'!D$10)</f>
        <v>89.877410878933347</v>
      </c>
      <c r="F322" s="10">
        <v>147.07212689280001</v>
      </c>
      <c r="G322" s="12">
        <f>F322*(1-'[1]Discounts page'!D$10)</f>
        <v>80.889669791040021</v>
      </c>
      <c r="H322" s="10">
        <v>138.90145317653332</v>
      </c>
      <c r="I322" s="12">
        <f>H322*(1-'[1]Discounts page'!D$10)</f>
        <v>76.395799247093336</v>
      </c>
      <c r="J322" s="47">
        <f t="shared" si="13"/>
        <v>144</v>
      </c>
      <c r="K322" s="48">
        <f t="shared" si="12"/>
        <v>126</v>
      </c>
      <c r="L322" s="49">
        <f t="shared" si="14"/>
        <v>115</v>
      </c>
    </row>
    <row r="323" spans="1:12" ht="15.75" x14ac:dyDescent="0.25">
      <c r="A323" s="11" t="s">
        <v>21</v>
      </c>
      <c r="B323" s="8"/>
      <c r="C323" s="9" t="s">
        <v>30</v>
      </c>
      <c r="D323" s="10">
        <v>166.55302234311111</v>
      </c>
      <c r="E323" s="12">
        <f>D323*(1-'[1]Discounts page'!D$10)</f>
        <v>91.604162288711123</v>
      </c>
      <c r="F323" s="10">
        <v>149.8977201088</v>
      </c>
      <c r="G323" s="12">
        <f>F323*(1-'[1]Discounts page'!D$10)</f>
        <v>82.443746059840009</v>
      </c>
      <c r="H323" s="10">
        <v>141.57006899164443</v>
      </c>
      <c r="I323" s="12">
        <f>H323*(1-'[1]Discounts page'!D$10)</f>
        <v>77.863537945404445</v>
      </c>
      <c r="J323" s="47">
        <f t="shared" si="13"/>
        <v>147</v>
      </c>
      <c r="K323" s="48">
        <f t="shared" si="12"/>
        <v>128</v>
      </c>
      <c r="L323" s="49">
        <f t="shared" si="14"/>
        <v>117</v>
      </c>
    </row>
    <row r="324" spans="1:12" ht="15.75" x14ac:dyDescent="0.25">
      <c r="A324" s="11" t="s">
        <v>22</v>
      </c>
      <c r="B324" s="8"/>
      <c r="C324" s="9" t="s">
        <v>30</v>
      </c>
      <c r="D324" s="10">
        <v>169.69257036088888</v>
      </c>
      <c r="E324" s="12">
        <f>D324*(1-'[1]Discounts page'!D$10)</f>
        <v>93.330913698488885</v>
      </c>
      <c r="F324" s="10">
        <v>152.72331332479999</v>
      </c>
      <c r="G324" s="12">
        <f>F324*(1-'[1]Discounts page'!D$10)</f>
        <v>83.997822328639998</v>
      </c>
      <c r="H324" s="10">
        <v>144.23868480675554</v>
      </c>
      <c r="I324" s="12">
        <f>H324*(1-'[1]Discounts page'!D$10)</f>
        <v>79.331276643715555</v>
      </c>
      <c r="J324" s="47">
        <f t="shared" si="13"/>
        <v>150</v>
      </c>
      <c r="K324" s="48">
        <f t="shared" si="12"/>
        <v>131</v>
      </c>
      <c r="L324" s="49">
        <f t="shared" si="14"/>
        <v>119</v>
      </c>
    </row>
    <row r="325" spans="1:12" ht="15.75" x14ac:dyDescent="0.25">
      <c r="A325" s="11" t="s">
        <v>23</v>
      </c>
      <c r="B325" s="8"/>
      <c r="C325" s="9" t="s">
        <v>30</v>
      </c>
      <c r="D325" s="10">
        <v>172.04723137422226</v>
      </c>
      <c r="E325" s="12">
        <f>D325*(1-'[1]Discounts page'!D$10)</f>
        <v>94.625977255822249</v>
      </c>
      <c r="F325" s="10">
        <v>154.84250823680003</v>
      </c>
      <c r="G325" s="12">
        <f>F325*(1-'[1]Discounts page'!D$10)</f>
        <v>85.163379530240022</v>
      </c>
      <c r="H325" s="10">
        <v>146.24014666808893</v>
      </c>
      <c r="I325" s="12">
        <f>H325*(1-'[1]Discounts page'!D$10)</f>
        <v>80.432080667448915</v>
      </c>
      <c r="J325" s="47">
        <f t="shared" si="13"/>
        <v>152</v>
      </c>
      <c r="K325" s="48">
        <f t="shared" si="12"/>
        <v>133</v>
      </c>
      <c r="L325" s="49">
        <f t="shared" si="14"/>
        <v>121</v>
      </c>
    </row>
    <row r="326" spans="1:12" ht="15.75" x14ac:dyDescent="0.25">
      <c r="A326" s="11" t="s">
        <v>24</v>
      </c>
      <c r="B326" s="8"/>
      <c r="C326" s="9" t="s">
        <v>30</v>
      </c>
      <c r="D326" s="10">
        <v>175.34375679288888</v>
      </c>
      <c r="E326" s="12">
        <f>D326*(1-'[1]Discounts page'!D$10)</f>
        <v>96.439066236088891</v>
      </c>
      <c r="F326" s="10">
        <v>157.80938111360001</v>
      </c>
      <c r="G326" s="12">
        <f>F326*(1-'[1]Discounts page'!D$10)</f>
        <v>86.795159612480006</v>
      </c>
      <c r="H326" s="10">
        <v>149.04219327395555</v>
      </c>
      <c r="I326" s="12">
        <f>H326*(1-'[1]Discounts page'!D$10)</f>
        <v>81.973206300675557</v>
      </c>
      <c r="J326" s="47">
        <f t="shared" si="13"/>
        <v>155</v>
      </c>
      <c r="K326" s="48">
        <f t="shared" si="12"/>
        <v>135</v>
      </c>
      <c r="L326" s="49">
        <f t="shared" si="14"/>
        <v>123</v>
      </c>
    </row>
    <row r="327" spans="1:12" ht="15.75" x14ac:dyDescent="0.25">
      <c r="A327" s="7" t="s">
        <v>38</v>
      </c>
      <c r="B327" s="8"/>
      <c r="C327" s="9"/>
      <c r="D327" s="10"/>
      <c r="E327" s="12"/>
      <c r="F327" s="10"/>
      <c r="G327" s="12"/>
      <c r="H327" s="10"/>
      <c r="I327" s="12"/>
      <c r="J327" s="47">
        <f t="shared" si="13"/>
        <v>0</v>
      </c>
      <c r="K327" s="48">
        <f t="shared" si="12"/>
        <v>0</v>
      </c>
      <c r="L327" s="49">
        <f t="shared" si="14"/>
        <v>0</v>
      </c>
    </row>
    <row r="328" spans="1:12" ht="15.75" x14ac:dyDescent="0.25">
      <c r="A328" s="7" t="s">
        <v>13</v>
      </c>
      <c r="B328" s="8"/>
      <c r="C328" s="9"/>
      <c r="D328" s="10"/>
      <c r="E328" s="12"/>
      <c r="F328" s="10"/>
      <c r="G328" s="12"/>
      <c r="H328" s="10"/>
      <c r="I328" s="12"/>
      <c r="J328" s="47">
        <f t="shared" si="13"/>
        <v>0</v>
      </c>
      <c r="K328" s="48">
        <f t="shared" si="12"/>
        <v>0</v>
      </c>
      <c r="L328" s="49">
        <f t="shared" si="14"/>
        <v>0</v>
      </c>
    </row>
    <row r="329" spans="1:12" ht="15.75" x14ac:dyDescent="0.25">
      <c r="A329" s="11">
        <v>2590</v>
      </c>
      <c r="B329" s="8"/>
      <c r="C329" s="9" t="s">
        <v>30</v>
      </c>
      <c r="D329" s="10">
        <v>84.539275121777791</v>
      </c>
      <c r="E329" s="12">
        <f>D329*(1-'[1]Discounts page'!D$10)</f>
        <v>46.496601316977788</v>
      </c>
      <c r="F329" s="10">
        <v>76.085347609600021</v>
      </c>
      <c r="G329" s="12">
        <f>F329*(1-'[1]Discounts page'!D$10)</f>
        <v>41.846941185280016</v>
      </c>
      <c r="H329" s="10">
        <v>71.858383853511114</v>
      </c>
      <c r="I329" s="12">
        <f>H329*(1-'[1]Discounts page'!D$10)</f>
        <v>39.522111119431116</v>
      </c>
      <c r="J329" s="47">
        <f t="shared" si="13"/>
        <v>75</v>
      </c>
      <c r="K329" s="48">
        <f t="shared" ref="K329:K392" si="15">ROUNDUP(G329*1.55,0)</f>
        <v>65</v>
      </c>
      <c r="L329" s="49">
        <f t="shared" si="14"/>
        <v>60</v>
      </c>
    </row>
    <row r="330" spans="1:12" ht="15.75" x14ac:dyDescent="0.25">
      <c r="A330" s="11">
        <v>2745</v>
      </c>
      <c r="B330" s="8"/>
      <c r="C330" s="9" t="s">
        <v>30</v>
      </c>
      <c r="D330" s="10">
        <v>87.999067520000011</v>
      </c>
      <c r="E330" s="12">
        <f>D330*(1-'[1]Discounts page'!D$10)</f>
        <v>48.399487136000012</v>
      </c>
      <c r="F330" s="10">
        <v>79.199160768000013</v>
      </c>
      <c r="G330" s="12">
        <f>F330*(1-'[1]Discounts page'!D$10)</f>
        <v>43.55953842240001</v>
      </c>
      <c r="H330" s="10">
        <v>74.799207392000014</v>
      </c>
      <c r="I330" s="12">
        <f>H330*(1-'[1]Discounts page'!D$10)</f>
        <v>41.139564065600013</v>
      </c>
      <c r="J330" s="47">
        <f t="shared" ref="J330:J393" si="16">ROUNDUP(E330*1.6,0)</f>
        <v>78</v>
      </c>
      <c r="K330" s="48">
        <f t="shared" si="15"/>
        <v>68</v>
      </c>
      <c r="L330" s="49">
        <f t="shared" ref="L330:L393" si="17">ROUNDUP(I330*1.5,0)</f>
        <v>62</v>
      </c>
    </row>
    <row r="331" spans="1:12" ht="15.75" x14ac:dyDescent="0.25">
      <c r="A331" s="11">
        <v>2895</v>
      </c>
      <c r="B331" s="8"/>
      <c r="C331" s="9" t="s">
        <v>30</v>
      </c>
      <c r="D331" s="10">
        <v>91.910137187555549</v>
      </c>
      <c r="E331" s="12">
        <f>D331*(1-'[1]Discounts page'!D$10)</f>
        <v>50.550575453155552</v>
      </c>
      <c r="F331" s="10">
        <v>82.719123468799992</v>
      </c>
      <c r="G331" s="12">
        <f>F331*(1-'[1]Discounts page'!D$10)</f>
        <v>45.495517907839996</v>
      </c>
      <c r="H331" s="10">
        <v>78.123616609422214</v>
      </c>
      <c r="I331" s="12">
        <f>H331*(1-'[1]Discounts page'!D$10)</f>
        <v>42.967989135182222</v>
      </c>
      <c r="J331" s="47">
        <f t="shared" si="16"/>
        <v>81</v>
      </c>
      <c r="K331" s="48">
        <f t="shared" si="15"/>
        <v>71</v>
      </c>
      <c r="L331" s="49">
        <f t="shared" si="17"/>
        <v>65</v>
      </c>
    </row>
    <row r="332" spans="1:12" ht="15.75" x14ac:dyDescent="0.25">
      <c r="A332" s="11">
        <v>3050</v>
      </c>
      <c r="B332" s="8"/>
      <c r="C332" s="9" t="s">
        <v>30</v>
      </c>
      <c r="D332" s="10">
        <v>95.821206855111114</v>
      </c>
      <c r="E332" s="12">
        <f>D332*(1-'[1]Discounts page'!D$10)</f>
        <v>52.701663770311114</v>
      </c>
      <c r="F332" s="10">
        <v>86.2390861696</v>
      </c>
      <c r="G332" s="12">
        <f>F332*(1-'[1]Discounts page'!D$10)</f>
        <v>47.431497393280004</v>
      </c>
      <c r="H332" s="10">
        <v>81.448025826844443</v>
      </c>
      <c r="I332" s="12">
        <f>H332*(1-'[1]Discounts page'!D$10)</f>
        <v>44.796414204764446</v>
      </c>
      <c r="J332" s="47">
        <f t="shared" si="16"/>
        <v>85</v>
      </c>
      <c r="K332" s="48">
        <f t="shared" si="15"/>
        <v>74</v>
      </c>
      <c r="L332" s="49">
        <f t="shared" si="17"/>
        <v>68</v>
      </c>
    </row>
    <row r="333" spans="1:12" ht="15.75" x14ac:dyDescent="0.25">
      <c r="A333" s="11">
        <v>3200</v>
      </c>
      <c r="B333" s="8"/>
      <c r="C333" s="9" t="s">
        <v>30</v>
      </c>
      <c r="D333" s="10">
        <v>99.732276522666666</v>
      </c>
      <c r="E333" s="12">
        <f>D333*(1-'[1]Discounts page'!D$10)</f>
        <v>54.852752087466669</v>
      </c>
      <c r="F333" s="10">
        <v>89.759048870400008</v>
      </c>
      <c r="G333" s="12">
        <f>F333*(1-'[1]Discounts page'!D$10)</f>
        <v>49.367476878720005</v>
      </c>
      <c r="H333" s="10">
        <v>84.772435044266658</v>
      </c>
      <c r="I333" s="12">
        <f>H333*(1-'[1]Discounts page'!D$10)</f>
        <v>46.624839274346662</v>
      </c>
      <c r="J333" s="47">
        <f t="shared" si="16"/>
        <v>88</v>
      </c>
      <c r="K333" s="48">
        <f t="shared" si="15"/>
        <v>77</v>
      </c>
      <c r="L333" s="49">
        <f t="shared" si="17"/>
        <v>70</v>
      </c>
    </row>
    <row r="334" spans="1:12" ht="15.75" x14ac:dyDescent="0.25">
      <c r="A334" s="11">
        <v>3355</v>
      </c>
      <c r="B334" s="8"/>
      <c r="C334" s="9" t="s">
        <v>30</v>
      </c>
      <c r="D334" s="10">
        <v>103.49292043377778</v>
      </c>
      <c r="E334" s="12">
        <f>D334*(1-'[1]Discounts page'!D$10)</f>
        <v>56.921106238577785</v>
      </c>
      <c r="F334" s="10">
        <v>93.143628390400011</v>
      </c>
      <c r="G334" s="12">
        <f>F334*(1-'[1]Discounts page'!D$10)</f>
        <v>51.228995614720013</v>
      </c>
      <c r="H334" s="10">
        <v>87.96898236871111</v>
      </c>
      <c r="I334" s="12">
        <f>H334*(1-'[1]Discounts page'!D$10)</f>
        <v>48.382940302791113</v>
      </c>
      <c r="J334" s="47">
        <f t="shared" si="16"/>
        <v>92</v>
      </c>
      <c r="K334" s="48">
        <f t="shared" si="15"/>
        <v>80</v>
      </c>
      <c r="L334" s="49">
        <f t="shared" si="17"/>
        <v>73</v>
      </c>
    </row>
    <row r="335" spans="1:12" ht="15.75" x14ac:dyDescent="0.25">
      <c r="A335" s="11">
        <v>3510</v>
      </c>
      <c r="B335" s="8"/>
      <c r="C335" s="9" t="s">
        <v>30</v>
      </c>
      <c r="D335" s="10">
        <v>106.80228707555555</v>
      </c>
      <c r="E335" s="12">
        <f>D335*(1-'[1]Discounts page'!D$10)</f>
        <v>58.741257891555563</v>
      </c>
      <c r="F335" s="10">
        <v>96.122058367999998</v>
      </c>
      <c r="G335" s="12">
        <f>F335*(1-'[1]Discounts page'!D$10)</f>
        <v>52.867132102400006</v>
      </c>
      <c r="H335" s="10">
        <v>90.781944014222219</v>
      </c>
      <c r="I335" s="12">
        <f>H335*(1-'[1]Discounts page'!D$10)</f>
        <v>49.930069207822221</v>
      </c>
      <c r="J335" s="47">
        <f t="shared" si="16"/>
        <v>94</v>
      </c>
      <c r="K335" s="48">
        <f t="shared" si="15"/>
        <v>82</v>
      </c>
      <c r="L335" s="49">
        <f t="shared" si="17"/>
        <v>75</v>
      </c>
    </row>
    <row r="336" spans="1:12" ht="15.75" x14ac:dyDescent="0.25">
      <c r="A336" s="11">
        <v>3660</v>
      </c>
      <c r="B336" s="8"/>
      <c r="C336" s="9" t="s">
        <v>30</v>
      </c>
      <c r="D336" s="10">
        <v>110.71335674311111</v>
      </c>
      <c r="E336" s="12">
        <f>D336*(1-'[1]Discounts page'!D$10)</f>
        <v>60.89234620871111</v>
      </c>
      <c r="F336" s="10">
        <v>99.642021068799991</v>
      </c>
      <c r="G336" s="12">
        <f>F336*(1-'[1]Discounts page'!D$10)</f>
        <v>54.80311158784</v>
      </c>
      <c r="H336" s="10">
        <v>94.106353231644434</v>
      </c>
      <c r="I336" s="12">
        <f>H336*(1-'[1]Discounts page'!D$10)</f>
        <v>51.758494277404445</v>
      </c>
      <c r="J336" s="47">
        <f t="shared" si="16"/>
        <v>98</v>
      </c>
      <c r="K336" s="48">
        <f t="shared" si="15"/>
        <v>85</v>
      </c>
      <c r="L336" s="49">
        <f t="shared" si="17"/>
        <v>78</v>
      </c>
    </row>
    <row r="337" spans="1:12" ht="15.75" x14ac:dyDescent="0.25">
      <c r="A337" s="11">
        <v>3810</v>
      </c>
      <c r="B337" s="8"/>
      <c r="C337" s="9" t="s">
        <v>30</v>
      </c>
      <c r="D337" s="10">
        <v>114.77485216711111</v>
      </c>
      <c r="E337" s="12">
        <f>D337*(1-'[1]Discounts page'!D$10)</f>
        <v>63.126168691911111</v>
      </c>
      <c r="F337" s="10">
        <v>103.2973669504</v>
      </c>
      <c r="G337" s="12">
        <f>F337*(1-'[1]Discounts page'!D$10)</f>
        <v>56.813551822720008</v>
      </c>
      <c r="H337" s="10">
        <v>97.558624342044439</v>
      </c>
      <c r="I337" s="12">
        <f>H337*(1-'[1]Discounts page'!D$10)</f>
        <v>53.657243388124449</v>
      </c>
      <c r="J337" s="47">
        <f t="shared" si="16"/>
        <v>102</v>
      </c>
      <c r="K337" s="48">
        <f t="shared" si="15"/>
        <v>89</v>
      </c>
      <c r="L337" s="49">
        <f t="shared" si="17"/>
        <v>81</v>
      </c>
    </row>
    <row r="338" spans="1:12" ht="15.75" x14ac:dyDescent="0.25">
      <c r="A338" s="11">
        <v>3965</v>
      </c>
      <c r="B338" s="8"/>
      <c r="C338" s="9" t="s">
        <v>30</v>
      </c>
      <c r="D338" s="10">
        <v>118.68592183466666</v>
      </c>
      <c r="E338" s="12">
        <f>D338*(1-'[1]Discounts page'!D$10)</f>
        <v>65.277257009066673</v>
      </c>
      <c r="F338" s="10">
        <v>106.8173296512</v>
      </c>
      <c r="G338" s="12">
        <f>F338*(1-'[1]Discounts page'!D$10)</f>
        <v>58.749531308160002</v>
      </c>
      <c r="H338" s="10">
        <v>100.88303355946665</v>
      </c>
      <c r="I338" s="12">
        <f>H338*(1-'[1]Discounts page'!D$10)</f>
        <v>55.485668457706666</v>
      </c>
      <c r="J338" s="47">
        <f t="shared" si="16"/>
        <v>105</v>
      </c>
      <c r="K338" s="48">
        <f t="shared" si="15"/>
        <v>92</v>
      </c>
      <c r="L338" s="49">
        <f t="shared" si="17"/>
        <v>84</v>
      </c>
    </row>
    <row r="339" spans="1:12" ht="15.75" x14ac:dyDescent="0.25">
      <c r="A339" s="11">
        <v>4115</v>
      </c>
      <c r="B339" s="8"/>
      <c r="C339" s="9" t="s">
        <v>30</v>
      </c>
      <c r="D339" s="10">
        <v>122.59699150222222</v>
      </c>
      <c r="E339" s="12">
        <f>D339*(1-'[1]Discounts page'!D$10)</f>
        <v>67.428345326222228</v>
      </c>
      <c r="F339" s="10">
        <v>110.33729235200001</v>
      </c>
      <c r="G339" s="12">
        <f>F339*(1-'[1]Discounts page'!D$10)</f>
        <v>60.68551079360001</v>
      </c>
      <c r="H339" s="10">
        <v>104.20744277688888</v>
      </c>
      <c r="I339" s="12">
        <f>H339*(1-'[1]Discounts page'!D$10)</f>
        <v>57.31409352728889</v>
      </c>
      <c r="J339" s="47">
        <f t="shared" si="16"/>
        <v>108</v>
      </c>
      <c r="K339" s="48">
        <f t="shared" si="15"/>
        <v>95</v>
      </c>
      <c r="L339" s="49">
        <f t="shared" si="17"/>
        <v>86</v>
      </c>
    </row>
    <row r="340" spans="1:12" ht="15.75" x14ac:dyDescent="0.25">
      <c r="A340" s="11">
        <v>4270</v>
      </c>
      <c r="B340" s="8"/>
      <c r="C340" s="9" t="s">
        <v>30</v>
      </c>
      <c r="D340" s="10">
        <v>126.35763541333333</v>
      </c>
      <c r="E340" s="12">
        <f>D340*(1-'[1]Discounts page'!D$10)</f>
        <v>69.496699477333337</v>
      </c>
      <c r="F340" s="10">
        <v>113.72187187199999</v>
      </c>
      <c r="G340" s="12">
        <f>F340*(1-'[1]Discounts page'!D$10)</f>
        <v>62.547029529600003</v>
      </c>
      <c r="H340" s="10">
        <v>107.40399010133332</v>
      </c>
      <c r="I340" s="12">
        <f>H340*(1-'[1]Discounts page'!D$10)</f>
        <v>59.072194555733333</v>
      </c>
      <c r="J340" s="47">
        <f t="shared" si="16"/>
        <v>112</v>
      </c>
      <c r="K340" s="48">
        <f t="shared" si="15"/>
        <v>97</v>
      </c>
      <c r="L340" s="49">
        <f t="shared" si="17"/>
        <v>89</v>
      </c>
    </row>
    <row r="341" spans="1:12" ht="15.75" x14ac:dyDescent="0.25">
      <c r="A341" s="11">
        <v>4420</v>
      </c>
      <c r="B341" s="8"/>
      <c r="C341" s="9" t="s">
        <v>30</v>
      </c>
      <c r="D341" s="10">
        <v>129.81742781155555</v>
      </c>
      <c r="E341" s="12">
        <f>D341*(1-'[1]Discounts page'!D$10)</f>
        <v>71.399585296355554</v>
      </c>
      <c r="F341" s="10">
        <v>116.8356850304</v>
      </c>
      <c r="G341" s="12">
        <f>F341*(1-'[1]Discounts page'!D$10)</f>
        <v>64.259626766720004</v>
      </c>
      <c r="H341" s="10">
        <v>110.34481363982221</v>
      </c>
      <c r="I341" s="12">
        <f>H341*(1-'[1]Discounts page'!D$10)</f>
        <v>60.689647501902215</v>
      </c>
      <c r="J341" s="47">
        <f t="shared" si="16"/>
        <v>115</v>
      </c>
      <c r="K341" s="48">
        <f t="shared" si="15"/>
        <v>100</v>
      </c>
      <c r="L341" s="49">
        <f t="shared" si="17"/>
        <v>92</v>
      </c>
    </row>
    <row r="342" spans="1:12" ht="15.75" x14ac:dyDescent="0.25">
      <c r="A342" s="11">
        <v>4575</v>
      </c>
      <c r="B342" s="8"/>
      <c r="C342" s="9" t="s">
        <v>30</v>
      </c>
      <c r="D342" s="10">
        <v>134.029348992</v>
      </c>
      <c r="E342" s="12">
        <f>D342*(1-'[1]Discounts page'!D$10)</f>
        <v>73.7161419456</v>
      </c>
      <c r="F342" s="10">
        <v>120.6264140928</v>
      </c>
      <c r="G342" s="12">
        <f>F342*(1-'[1]Discounts page'!D$10)</f>
        <v>66.344527751040005</v>
      </c>
      <c r="H342" s="10">
        <v>113.92494664319999</v>
      </c>
      <c r="I342" s="12">
        <f>H342*(1-'[1]Discounts page'!D$10)</f>
        <v>62.65872065376</v>
      </c>
      <c r="J342" s="47">
        <f t="shared" si="16"/>
        <v>118</v>
      </c>
      <c r="K342" s="48">
        <f t="shared" si="15"/>
        <v>103</v>
      </c>
      <c r="L342" s="49">
        <f t="shared" si="17"/>
        <v>94</v>
      </c>
    </row>
    <row r="343" spans="1:12" ht="15.75" x14ac:dyDescent="0.25">
      <c r="A343" s="11">
        <v>4725</v>
      </c>
      <c r="B343" s="8"/>
      <c r="C343" s="9" t="s">
        <v>30</v>
      </c>
      <c r="D343" s="10">
        <v>137.48914139022222</v>
      </c>
      <c r="E343" s="12">
        <f>D343*(1-'[1]Discounts page'!D$10)</f>
        <v>75.619027764622231</v>
      </c>
      <c r="F343" s="10">
        <v>123.7402272512</v>
      </c>
      <c r="G343" s="12">
        <f>F343*(1-'[1]Discounts page'!D$10)</f>
        <v>68.057124988159998</v>
      </c>
      <c r="H343" s="10">
        <v>116.86577018168887</v>
      </c>
      <c r="I343" s="12">
        <f>H343*(1-'[1]Discounts page'!D$10)</f>
        <v>64.276173599928882</v>
      </c>
      <c r="J343" s="47">
        <f t="shared" si="16"/>
        <v>121</v>
      </c>
      <c r="K343" s="48">
        <f t="shared" si="15"/>
        <v>106</v>
      </c>
      <c r="L343" s="49">
        <f t="shared" si="17"/>
        <v>97</v>
      </c>
    </row>
    <row r="344" spans="1:12" ht="15.75" x14ac:dyDescent="0.25">
      <c r="A344" s="11">
        <v>4880</v>
      </c>
      <c r="B344" s="8"/>
      <c r="C344" s="9" t="s">
        <v>30</v>
      </c>
      <c r="D344" s="10">
        <v>141.24978530133333</v>
      </c>
      <c r="E344" s="12">
        <f>D344*(1-'[1]Discounts page'!D$10)</f>
        <v>77.68738191573334</v>
      </c>
      <c r="F344" s="10">
        <v>127.1248067712</v>
      </c>
      <c r="G344" s="12">
        <f>F344*(1-'[1]Discounts page'!D$10)</f>
        <v>69.918643724160006</v>
      </c>
      <c r="H344" s="10">
        <v>120.06231750613333</v>
      </c>
      <c r="I344" s="12">
        <f>H344*(1-'[1]Discounts page'!D$10)</f>
        <v>66.034274628373339</v>
      </c>
      <c r="J344" s="47">
        <f t="shared" si="16"/>
        <v>125</v>
      </c>
      <c r="K344" s="48">
        <f t="shared" si="15"/>
        <v>109</v>
      </c>
      <c r="L344" s="49">
        <f t="shared" si="17"/>
        <v>100</v>
      </c>
    </row>
    <row r="345" spans="1:12" ht="15.75" x14ac:dyDescent="0.25">
      <c r="A345" s="11">
        <v>5030</v>
      </c>
      <c r="B345" s="8"/>
      <c r="C345" s="9" t="s">
        <v>30</v>
      </c>
      <c r="D345" s="10">
        <v>145.01042921244442</v>
      </c>
      <c r="E345" s="12">
        <f>D345*(1-'[1]Discounts page'!D$10)</f>
        <v>79.755736066844435</v>
      </c>
      <c r="F345" s="10">
        <v>130.50938629119997</v>
      </c>
      <c r="G345" s="12">
        <f>F345*(1-'[1]Discounts page'!D$10)</f>
        <v>71.780162460159985</v>
      </c>
      <c r="H345" s="10">
        <v>123.25886483057775</v>
      </c>
      <c r="I345" s="12">
        <f>H345*(1-'[1]Discounts page'!D$10)</f>
        <v>67.792375656817768</v>
      </c>
      <c r="J345" s="47">
        <f t="shared" si="16"/>
        <v>128</v>
      </c>
      <c r="K345" s="48">
        <f t="shared" si="15"/>
        <v>112</v>
      </c>
      <c r="L345" s="49">
        <f t="shared" si="17"/>
        <v>102</v>
      </c>
    </row>
    <row r="346" spans="1:12" ht="15.75" x14ac:dyDescent="0.25">
      <c r="A346" s="11">
        <v>5185</v>
      </c>
      <c r="B346" s="8"/>
      <c r="C346" s="9" t="s">
        <v>30</v>
      </c>
      <c r="D346" s="10">
        <v>148.77107312355554</v>
      </c>
      <c r="E346" s="12">
        <f>D346*(1-'[1]Discounts page'!D$10)</f>
        <v>81.824090217955558</v>
      </c>
      <c r="F346" s="10">
        <v>133.89396581119999</v>
      </c>
      <c r="G346" s="12">
        <f>F346*(1-'[1]Discounts page'!D$10)</f>
        <v>73.641681196160008</v>
      </c>
      <c r="H346" s="10">
        <v>126.4554121550222</v>
      </c>
      <c r="I346" s="12">
        <f>H346*(1-'[1]Discounts page'!D$10)</f>
        <v>69.550476685262211</v>
      </c>
      <c r="J346" s="47">
        <f t="shared" si="16"/>
        <v>131</v>
      </c>
      <c r="K346" s="48">
        <f t="shared" si="15"/>
        <v>115</v>
      </c>
      <c r="L346" s="49">
        <f t="shared" si="17"/>
        <v>105</v>
      </c>
    </row>
    <row r="347" spans="1:12" ht="15.75" x14ac:dyDescent="0.25">
      <c r="A347" s="11">
        <v>5335</v>
      </c>
      <c r="B347" s="8"/>
      <c r="C347" s="9" t="s">
        <v>30</v>
      </c>
      <c r="D347" s="10">
        <v>152.98299430399999</v>
      </c>
      <c r="E347" s="12">
        <f>D347*(1-'[1]Discounts page'!D$10)</f>
        <v>84.140646867200005</v>
      </c>
      <c r="F347" s="10">
        <v>137.68469487359999</v>
      </c>
      <c r="G347" s="12">
        <f>F347*(1-'[1]Discounts page'!D$10)</f>
        <v>75.726582180480008</v>
      </c>
      <c r="H347" s="10">
        <v>130.0355451584</v>
      </c>
      <c r="I347" s="12">
        <f>H347*(1-'[1]Discounts page'!D$10)</f>
        <v>71.51954983712001</v>
      </c>
      <c r="J347" s="47">
        <f t="shared" si="16"/>
        <v>135</v>
      </c>
      <c r="K347" s="48">
        <f t="shared" si="15"/>
        <v>118</v>
      </c>
      <c r="L347" s="49">
        <f t="shared" si="17"/>
        <v>108</v>
      </c>
    </row>
    <row r="348" spans="1:12" ht="15.75" x14ac:dyDescent="0.25">
      <c r="A348" s="11">
        <v>5490</v>
      </c>
      <c r="B348" s="8"/>
      <c r="C348" s="9" t="s">
        <v>30</v>
      </c>
      <c r="D348" s="10">
        <v>156.59321245866664</v>
      </c>
      <c r="E348" s="12">
        <f>D348*(1-'[1]Discounts page'!D$10)</f>
        <v>86.126266852266653</v>
      </c>
      <c r="F348" s="10">
        <v>140.93389121279998</v>
      </c>
      <c r="G348" s="12">
        <f>F348*(1-'[1]Discounts page'!D$10)</f>
        <v>77.513640167039995</v>
      </c>
      <c r="H348" s="10">
        <v>133.10423058986663</v>
      </c>
      <c r="I348" s="12">
        <f>H348*(1-'[1]Discounts page'!D$10)</f>
        <v>73.207326824426659</v>
      </c>
      <c r="J348" s="47">
        <f t="shared" si="16"/>
        <v>138</v>
      </c>
      <c r="K348" s="48">
        <f t="shared" si="15"/>
        <v>121</v>
      </c>
      <c r="L348" s="49">
        <f t="shared" si="17"/>
        <v>110</v>
      </c>
    </row>
    <row r="349" spans="1:12" ht="15.75" x14ac:dyDescent="0.25">
      <c r="A349" s="11">
        <v>5640</v>
      </c>
      <c r="B349" s="8"/>
      <c r="C349" s="9" t="s">
        <v>30</v>
      </c>
      <c r="D349" s="10">
        <v>160.20343061333335</v>
      </c>
      <c r="E349" s="12">
        <f>D349*(1-'[1]Discounts page'!D$10)</f>
        <v>88.111886837333358</v>
      </c>
      <c r="F349" s="10">
        <v>144.18308755200002</v>
      </c>
      <c r="G349" s="12">
        <f>F349*(1-'[1]Discounts page'!D$10)</f>
        <v>79.30069815360001</v>
      </c>
      <c r="H349" s="10">
        <v>136.17291602133335</v>
      </c>
      <c r="I349" s="12">
        <f>H349*(1-'[1]Discounts page'!D$10)</f>
        <v>74.89510381173335</v>
      </c>
      <c r="J349" s="47">
        <f t="shared" si="16"/>
        <v>141</v>
      </c>
      <c r="K349" s="48">
        <f t="shared" si="15"/>
        <v>123</v>
      </c>
      <c r="L349" s="49">
        <f t="shared" si="17"/>
        <v>113</v>
      </c>
    </row>
    <row r="350" spans="1:12" ht="15.75" x14ac:dyDescent="0.25">
      <c r="A350" s="11">
        <v>5795</v>
      </c>
      <c r="B350" s="8"/>
      <c r="C350" s="9" t="s">
        <v>30</v>
      </c>
      <c r="D350" s="10">
        <v>163.96407452444447</v>
      </c>
      <c r="E350" s="12">
        <f>D350*(1-'[1]Discounts page'!D$10)</f>
        <v>90.180240988444467</v>
      </c>
      <c r="F350" s="10">
        <v>147.56766707200003</v>
      </c>
      <c r="G350" s="12">
        <f>F350*(1-'[1]Discounts page'!D$10)</f>
        <v>81.162216889600032</v>
      </c>
      <c r="H350" s="10">
        <v>139.3694633457778</v>
      </c>
      <c r="I350" s="12">
        <f>H350*(1-'[1]Discounts page'!D$10)</f>
        <v>76.653204840177793</v>
      </c>
      <c r="J350" s="47">
        <f t="shared" si="16"/>
        <v>145</v>
      </c>
      <c r="K350" s="48">
        <f t="shared" si="15"/>
        <v>126</v>
      </c>
      <c r="L350" s="49">
        <f t="shared" si="17"/>
        <v>115</v>
      </c>
    </row>
    <row r="351" spans="1:12" ht="15.75" x14ac:dyDescent="0.25">
      <c r="A351" s="11">
        <v>5945</v>
      </c>
      <c r="B351" s="8"/>
      <c r="C351" s="9" t="s">
        <v>30</v>
      </c>
      <c r="D351" s="10">
        <v>168.02556994844443</v>
      </c>
      <c r="E351" s="12">
        <f>D351*(1-'[1]Discounts page'!D$10)</f>
        <v>92.41406347164444</v>
      </c>
      <c r="F351" s="10">
        <v>151.22301295359998</v>
      </c>
      <c r="G351" s="12">
        <f>F351*(1-'[1]Discounts page'!D$10)</f>
        <v>83.172657124479997</v>
      </c>
      <c r="H351" s="10">
        <v>142.82173445617775</v>
      </c>
      <c r="I351" s="12">
        <f>H351*(1-'[1]Discounts page'!D$10)</f>
        <v>78.551953950897769</v>
      </c>
      <c r="J351" s="47">
        <f t="shared" si="16"/>
        <v>148</v>
      </c>
      <c r="K351" s="48">
        <f t="shared" si="15"/>
        <v>129</v>
      </c>
      <c r="L351" s="49">
        <f t="shared" si="17"/>
        <v>118</v>
      </c>
    </row>
    <row r="352" spans="1:12" ht="15.75" x14ac:dyDescent="0.25">
      <c r="A352" s="11">
        <v>6100</v>
      </c>
      <c r="B352" s="8"/>
      <c r="C352" s="9" t="s">
        <v>30</v>
      </c>
      <c r="D352" s="10">
        <v>171.48536234666668</v>
      </c>
      <c r="E352" s="12">
        <f>D352*(1-'[1]Discounts page'!D$10)</f>
        <v>94.316949290666685</v>
      </c>
      <c r="F352" s="10">
        <v>154.33682611200001</v>
      </c>
      <c r="G352" s="12">
        <f>F352*(1-'[1]Discounts page'!D$10)</f>
        <v>84.885254361600019</v>
      </c>
      <c r="H352" s="10">
        <v>145.76255799466668</v>
      </c>
      <c r="I352" s="12">
        <f>H352*(1-'[1]Discounts page'!D$10)</f>
        <v>80.169406897066679</v>
      </c>
      <c r="J352" s="47">
        <f t="shared" si="16"/>
        <v>151</v>
      </c>
      <c r="K352" s="48">
        <f t="shared" si="15"/>
        <v>132</v>
      </c>
      <c r="L352" s="49">
        <f t="shared" si="17"/>
        <v>121</v>
      </c>
    </row>
    <row r="353" spans="1:12" ht="15.75" x14ac:dyDescent="0.25">
      <c r="A353" s="11">
        <v>6250</v>
      </c>
      <c r="B353" s="8"/>
      <c r="C353" s="9" t="s">
        <v>30</v>
      </c>
      <c r="D353" s="10">
        <v>175.24600625777776</v>
      </c>
      <c r="E353" s="12">
        <f>D353*(1-'[1]Discounts page'!D$10)</f>
        <v>96.385303441777779</v>
      </c>
      <c r="F353" s="10">
        <v>157.721405632</v>
      </c>
      <c r="G353" s="12">
        <f>F353*(1-'[1]Discounts page'!D$10)</f>
        <v>86.746773097600013</v>
      </c>
      <c r="H353" s="10">
        <v>148.9591053191111</v>
      </c>
      <c r="I353" s="12">
        <f>H353*(1-'[1]Discounts page'!D$10)</f>
        <v>81.927507925511108</v>
      </c>
      <c r="J353" s="47">
        <f t="shared" si="16"/>
        <v>155</v>
      </c>
      <c r="K353" s="48">
        <f t="shared" si="15"/>
        <v>135</v>
      </c>
      <c r="L353" s="49">
        <f t="shared" si="17"/>
        <v>123</v>
      </c>
    </row>
    <row r="354" spans="1:12" ht="15.75" x14ac:dyDescent="0.25">
      <c r="A354" s="11">
        <v>6400</v>
      </c>
      <c r="B354" s="8"/>
      <c r="C354" s="9" t="s">
        <v>30</v>
      </c>
      <c r="D354" s="10">
        <v>179.15707592533332</v>
      </c>
      <c r="E354" s="12">
        <f>D354*(1-'[1]Discounts page'!D$10)</f>
        <v>98.536391758933334</v>
      </c>
      <c r="F354" s="10">
        <v>161.24136833279999</v>
      </c>
      <c r="G354" s="12">
        <f>F354*(1-'[1]Discounts page'!D$10)</f>
        <v>88.682752583039999</v>
      </c>
      <c r="H354" s="10">
        <v>152.28351453653332</v>
      </c>
      <c r="I354" s="12">
        <f>H354*(1-'[1]Discounts page'!D$10)</f>
        <v>83.755932995093332</v>
      </c>
      <c r="J354" s="47">
        <f t="shared" si="16"/>
        <v>158</v>
      </c>
      <c r="K354" s="48">
        <f t="shared" si="15"/>
        <v>138</v>
      </c>
      <c r="L354" s="49">
        <f t="shared" si="17"/>
        <v>126</v>
      </c>
    </row>
    <row r="355" spans="1:12" ht="15.75" x14ac:dyDescent="0.25">
      <c r="A355" s="11" t="s">
        <v>14</v>
      </c>
      <c r="B355" s="8"/>
      <c r="C355" s="9" t="s">
        <v>30</v>
      </c>
      <c r="D355" s="10">
        <v>183.21857134933336</v>
      </c>
      <c r="E355" s="12">
        <f>D355*(1-'[1]Discounts page'!D$10)</f>
        <v>100.77021424213335</v>
      </c>
      <c r="F355" s="10">
        <v>164.89671421440002</v>
      </c>
      <c r="G355" s="12">
        <f>F355*(1-'[1]Discounts page'!D$10)</f>
        <v>90.693192817920021</v>
      </c>
      <c r="H355" s="10">
        <v>155.73578564693335</v>
      </c>
      <c r="I355" s="12">
        <f>H355*(1-'[1]Discounts page'!D$10)</f>
        <v>85.65468210581335</v>
      </c>
      <c r="J355" s="47">
        <f t="shared" si="16"/>
        <v>162</v>
      </c>
      <c r="K355" s="48">
        <f t="shared" si="15"/>
        <v>141</v>
      </c>
      <c r="L355" s="49">
        <f t="shared" si="17"/>
        <v>129</v>
      </c>
    </row>
    <row r="356" spans="1:12" ht="15.75" x14ac:dyDescent="0.25">
      <c r="A356" s="11" t="s">
        <v>15</v>
      </c>
      <c r="B356" s="8"/>
      <c r="C356" s="9" t="s">
        <v>30</v>
      </c>
      <c r="D356" s="10">
        <v>186.97921526044448</v>
      </c>
      <c r="E356" s="12">
        <f>D356*(1-'[1]Discounts page'!D$10)</f>
        <v>102.83856839324447</v>
      </c>
      <c r="F356" s="10">
        <v>168.28129373440004</v>
      </c>
      <c r="G356" s="12">
        <f>F356*(1-'[1]Discounts page'!D$10)</f>
        <v>92.554711553920029</v>
      </c>
      <c r="H356" s="10">
        <v>158.9323329713778</v>
      </c>
      <c r="I356" s="12">
        <f>H356*(1-'[1]Discounts page'!D$10)</f>
        <v>87.412783134257793</v>
      </c>
      <c r="J356" s="47">
        <f t="shared" si="16"/>
        <v>165</v>
      </c>
      <c r="K356" s="48">
        <f t="shared" si="15"/>
        <v>144</v>
      </c>
      <c r="L356" s="49">
        <f t="shared" si="17"/>
        <v>132</v>
      </c>
    </row>
    <row r="357" spans="1:12" ht="15.75" x14ac:dyDescent="0.25">
      <c r="A357" s="11" t="s">
        <v>16</v>
      </c>
      <c r="B357" s="8"/>
      <c r="C357" s="9" t="s">
        <v>30</v>
      </c>
      <c r="D357" s="10">
        <v>190.5894334151111</v>
      </c>
      <c r="E357" s="12">
        <f>D357*(1-'[1]Discounts page'!D$10)</f>
        <v>104.82418837831112</v>
      </c>
      <c r="F357" s="10">
        <v>171.53049007359999</v>
      </c>
      <c r="G357" s="12">
        <f>F357*(1-'[1]Discounts page'!D$10)</f>
        <v>94.341769540480001</v>
      </c>
      <c r="H357" s="10">
        <v>162.00101840284444</v>
      </c>
      <c r="I357" s="12">
        <f>H357*(1-'[1]Discounts page'!D$10)</f>
        <v>89.100560121564442</v>
      </c>
      <c r="J357" s="47">
        <f t="shared" si="16"/>
        <v>168</v>
      </c>
      <c r="K357" s="48">
        <f t="shared" si="15"/>
        <v>147</v>
      </c>
      <c r="L357" s="49">
        <f t="shared" si="17"/>
        <v>134</v>
      </c>
    </row>
    <row r="358" spans="1:12" ht="15.75" x14ac:dyDescent="0.25">
      <c r="A358" s="11" t="s">
        <v>17</v>
      </c>
      <c r="B358" s="8"/>
      <c r="C358" s="9" t="s">
        <v>30</v>
      </c>
      <c r="D358" s="10">
        <v>199.75269436800002</v>
      </c>
      <c r="E358" s="12">
        <f>D358*(1-'[1]Discounts page'!D$10)</f>
        <v>109.86398190240003</v>
      </c>
      <c r="F358" s="10">
        <v>179.77742493120002</v>
      </c>
      <c r="G358" s="12">
        <f>F358*(1-'[1]Discounts page'!D$10)</f>
        <v>98.877583712160018</v>
      </c>
      <c r="H358" s="10">
        <v>169.7897902128</v>
      </c>
      <c r="I358" s="12">
        <f>H358*(1-'[1]Discounts page'!D$10)</f>
        <v>93.384384617040013</v>
      </c>
      <c r="J358" s="47">
        <f t="shared" si="16"/>
        <v>176</v>
      </c>
      <c r="K358" s="48">
        <f t="shared" si="15"/>
        <v>154</v>
      </c>
      <c r="L358" s="49">
        <f t="shared" si="17"/>
        <v>141</v>
      </c>
    </row>
    <row r="359" spans="1:12" ht="15.75" x14ac:dyDescent="0.25">
      <c r="A359" s="11" t="s">
        <v>18</v>
      </c>
      <c r="B359" s="8"/>
      <c r="C359" s="9" t="s">
        <v>30</v>
      </c>
      <c r="D359" s="10">
        <v>203.61488876800001</v>
      </c>
      <c r="E359" s="12">
        <f>D359*(1-'[1]Discounts page'!D$10)</f>
        <v>111.98818882240002</v>
      </c>
      <c r="F359" s="10">
        <v>183.25339989120002</v>
      </c>
      <c r="G359" s="12">
        <f>F359*(1-'[1]Discounts page'!D$10)</f>
        <v>100.78936994016001</v>
      </c>
      <c r="H359" s="10">
        <v>173.07265545280001</v>
      </c>
      <c r="I359" s="12">
        <f>H359*(1-'[1]Discounts page'!D$10)</f>
        <v>95.189960499040012</v>
      </c>
      <c r="J359" s="47">
        <f t="shared" si="16"/>
        <v>180</v>
      </c>
      <c r="K359" s="48">
        <f t="shared" si="15"/>
        <v>157</v>
      </c>
      <c r="L359" s="49">
        <f t="shared" si="17"/>
        <v>143</v>
      </c>
    </row>
    <row r="360" spans="1:12" ht="15.75" x14ac:dyDescent="0.25">
      <c r="A360" s="11" t="s">
        <v>19</v>
      </c>
      <c r="B360" s="8"/>
      <c r="C360" s="9" t="s">
        <v>30</v>
      </c>
      <c r="D360" s="10">
        <v>207.47708316800004</v>
      </c>
      <c r="E360" s="12">
        <f>D360*(1-'[1]Discounts page'!D$10)</f>
        <v>114.11239574240003</v>
      </c>
      <c r="F360" s="10">
        <v>186.72937485120005</v>
      </c>
      <c r="G360" s="12">
        <f>F360*(1-'[1]Discounts page'!D$10)</f>
        <v>102.70115616816004</v>
      </c>
      <c r="H360" s="10">
        <v>176.35552069280001</v>
      </c>
      <c r="I360" s="12">
        <f>H360*(1-'[1]Discounts page'!D$10)</f>
        <v>96.995536381040012</v>
      </c>
      <c r="J360" s="47">
        <f t="shared" si="16"/>
        <v>183</v>
      </c>
      <c r="K360" s="48">
        <f t="shared" si="15"/>
        <v>160</v>
      </c>
      <c r="L360" s="49">
        <f t="shared" si="17"/>
        <v>146</v>
      </c>
    </row>
    <row r="361" spans="1:12" ht="15.75" x14ac:dyDescent="0.25">
      <c r="A361" s="11" t="s">
        <v>20</v>
      </c>
      <c r="B361" s="8"/>
      <c r="C361" s="9" t="s">
        <v>30</v>
      </c>
      <c r="D361" s="10">
        <v>211.49376534400005</v>
      </c>
      <c r="E361" s="12">
        <f>D361*(1-'[1]Discounts page'!D$10)</f>
        <v>116.32157093920004</v>
      </c>
      <c r="F361" s="10">
        <v>190.34438880960005</v>
      </c>
      <c r="G361" s="12">
        <f>F361*(1-'[1]Discounts page'!D$10)</f>
        <v>104.68941384528003</v>
      </c>
      <c r="H361" s="10">
        <v>179.76970054240005</v>
      </c>
      <c r="I361" s="12">
        <f>H361*(1-'[1]Discounts page'!D$10)</f>
        <v>98.873335298320029</v>
      </c>
      <c r="J361" s="47">
        <f t="shared" si="16"/>
        <v>187</v>
      </c>
      <c r="K361" s="48">
        <f t="shared" si="15"/>
        <v>163</v>
      </c>
      <c r="L361" s="49">
        <f t="shared" si="17"/>
        <v>149</v>
      </c>
    </row>
    <row r="362" spans="1:12" ht="15.75" x14ac:dyDescent="0.25">
      <c r="A362" s="11" t="s">
        <v>21</v>
      </c>
      <c r="B362" s="8"/>
      <c r="C362" s="9" t="s">
        <v>30</v>
      </c>
      <c r="D362" s="10">
        <v>215.51044752000001</v>
      </c>
      <c r="E362" s="12">
        <f>D362*(1-'[1]Discounts page'!D$10)</f>
        <v>118.53074613600002</v>
      </c>
      <c r="F362" s="10">
        <v>193.95940276800002</v>
      </c>
      <c r="G362" s="12">
        <f>F362*(1-'[1]Discounts page'!D$10)</f>
        <v>106.67767152240002</v>
      </c>
      <c r="H362" s="10">
        <v>183.18388039200002</v>
      </c>
      <c r="I362" s="12">
        <f>H362*(1-'[1]Discounts page'!D$10)</f>
        <v>100.75113421560002</v>
      </c>
      <c r="J362" s="47">
        <f t="shared" si="16"/>
        <v>190</v>
      </c>
      <c r="K362" s="48">
        <f t="shared" si="15"/>
        <v>166</v>
      </c>
      <c r="L362" s="49">
        <f t="shared" si="17"/>
        <v>152</v>
      </c>
    </row>
    <row r="363" spans="1:12" ht="15.75" x14ac:dyDescent="0.25">
      <c r="A363" s="11" t="s">
        <v>22</v>
      </c>
      <c r="B363" s="8"/>
      <c r="C363" s="9" t="s">
        <v>30</v>
      </c>
      <c r="D363" s="10">
        <v>219.21815414400004</v>
      </c>
      <c r="E363" s="12">
        <f>D363*(1-'[1]Discounts page'!D$10)</f>
        <v>120.56998477920003</v>
      </c>
      <c r="F363" s="10">
        <v>197.29633872960005</v>
      </c>
      <c r="G363" s="12">
        <f>F363*(1-'[1]Discounts page'!D$10)</f>
        <v>108.51298630128004</v>
      </c>
      <c r="H363" s="10">
        <v>186.33543102240003</v>
      </c>
      <c r="I363" s="12">
        <f>H363*(1-'[1]Discounts page'!D$10)</f>
        <v>102.48448706232003</v>
      </c>
      <c r="J363" s="47">
        <f t="shared" si="16"/>
        <v>193</v>
      </c>
      <c r="K363" s="48">
        <f t="shared" si="15"/>
        <v>169</v>
      </c>
      <c r="L363" s="49">
        <f t="shared" si="17"/>
        <v>154</v>
      </c>
    </row>
    <row r="364" spans="1:12" ht="15.75" x14ac:dyDescent="0.25">
      <c r="A364" s="11" t="s">
        <v>23</v>
      </c>
      <c r="B364" s="8"/>
      <c r="C364" s="9" t="s">
        <v>30</v>
      </c>
      <c r="D364" s="10">
        <v>223.08034854400003</v>
      </c>
      <c r="E364" s="12">
        <f>D364*(1-'[1]Discounts page'!D$10)</f>
        <v>122.69419169920003</v>
      </c>
      <c r="F364" s="10">
        <v>200.77231368960003</v>
      </c>
      <c r="G364" s="12">
        <f>F364*(1-'[1]Discounts page'!D$10)</f>
        <v>110.42477252928002</v>
      </c>
      <c r="H364" s="10">
        <v>189.61829626240001</v>
      </c>
      <c r="I364" s="12">
        <f>H364*(1-'[1]Discounts page'!D$10)</f>
        <v>104.29006294432001</v>
      </c>
      <c r="J364" s="47">
        <f t="shared" si="16"/>
        <v>197</v>
      </c>
      <c r="K364" s="48">
        <f t="shared" si="15"/>
        <v>172</v>
      </c>
      <c r="L364" s="49">
        <f t="shared" si="17"/>
        <v>157</v>
      </c>
    </row>
    <row r="365" spans="1:12" ht="15.75" x14ac:dyDescent="0.25">
      <c r="A365" s="11" t="s">
        <v>24</v>
      </c>
      <c r="B365" s="8"/>
      <c r="C365" s="9" t="s">
        <v>30</v>
      </c>
      <c r="D365" s="10">
        <v>227.09703072000002</v>
      </c>
      <c r="E365" s="12">
        <f>D365*(1-'[1]Discounts page'!D$10)</f>
        <v>124.90336689600002</v>
      </c>
      <c r="F365" s="10">
        <v>204.38732764800002</v>
      </c>
      <c r="G365" s="12">
        <f>F365*(1-'[1]Discounts page'!D$10)</f>
        <v>112.41303020640002</v>
      </c>
      <c r="H365" s="10">
        <v>193.03247611200001</v>
      </c>
      <c r="I365" s="12">
        <f>H365*(1-'[1]Discounts page'!D$10)</f>
        <v>106.16786186160002</v>
      </c>
      <c r="J365" s="47">
        <f t="shared" si="16"/>
        <v>200</v>
      </c>
      <c r="K365" s="48">
        <f t="shared" si="15"/>
        <v>175</v>
      </c>
      <c r="L365" s="49">
        <f t="shared" si="17"/>
        <v>160</v>
      </c>
    </row>
    <row r="366" spans="1:12" ht="15.75" x14ac:dyDescent="0.25">
      <c r="A366" s="7" t="s">
        <v>25</v>
      </c>
      <c r="B366" s="8"/>
      <c r="C366" s="9"/>
      <c r="D366" s="10"/>
      <c r="E366" s="12"/>
      <c r="F366" s="10"/>
      <c r="G366" s="12"/>
      <c r="H366" s="10"/>
      <c r="I366" s="12"/>
      <c r="J366" s="47">
        <f t="shared" si="16"/>
        <v>0</v>
      </c>
      <c r="K366" s="48">
        <f t="shared" si="15"/>
        <v>0</v>
      </c>
      <c r="L366" s="49">
        <f t="shared" si="17"/>
        <v>0</v>
      </c>
    </row>
    <row r="367" spans="1:12" ht="15.75" x14ac:dyDescent="0.25">
      <c r="A367" s="11">
        <v>2745</v>
      </c>
      <c r="B367" s="8"/>
      <c r="C367" s="9" t="s">
        <v>30</v>
      </c>
      <c r="D367" s="10">
        <v>107.21451654399999</v>
      </c>
      <c r="E367" s="12">
        <f>D367*(1-'[1]Discounts page'!D$10)</f>
        <v>58.967984099200002</v>
      </c>
      <c r="F367" s="10">
        <v>96.493064889599992</v>
      </c>
      <c r="G367" s="12">
        <f>F367*(1-'[1]Discounts page'!D$10)</f>
        <v>53.07118568928</v>
      </c>
      <c r="H367" s="10">
        <v>91.132339062399993</v>
      </c>
      <c r="I367" s="12">
        <f>H367*(1-'[1]Discounts page'!D$10)</f>
        <v>50.122786484320002</v>
      </c>
      <c r="J367" s="47">
        <f t="shared" si="16"/>
        <v>95</v>
      </c>
      <c r="K367" s="48">
        <f t="shared" si="15"/>
        <v>83</v>
      </c>
      <c r="L367" s="49">
        <f t="shared" si="17"/>
        <v>76</v>
      </c>
    </row>
    <row r="368" spans="1:12" ht="15.75" x14ac:dyDescent="0.25">
      <c r="A368" s="11">
        <v>2895</v>
      </c>
      <c r="B368" s="8"/>
      <c r="C368" s="9" t="s">
        <v>30</v>
      </c>
      <c r="D368" s="10">
        <v>112.00363760000002</v>
      </c>
      <c r="E368" s="12">
        <f>D368*(1-'[1]Discounts page'!D$10)</f>
        <v>61.602000680000017</v>
      </c>
      <c r="F368" s="10">
        <v>100.80327384000002</v>
      </c>
      <c r="G368" s="12">
        <f>F368*(1-'[1]Discounts page'!D$10)</f>
        <v>55.441800612000016</v>
      </c>
      <c r="H368" s="10">
        <v>95.203091960000009</v>
      </c>
      <c r="I368" s="12">
        <f>H368*(1-'[1]Discounts page'!D$10)</f>
        <v>52.361700578000011</v>
      </c>
      <c r="J368" s="47">
        <f t="shared" si="16"/>
        <v>99</v>
      </c>
      <c r="K368" s="48">
        <f t="shared" si="15"/>
        <v>86</v>
      </c>
      <c r="L368" s="49">
        <f t="shared" si="17"/>
        <v>79</v>
      </c>
    </row>
    <row r="369" spans="1:12" ht="15.75" x14ac:dyDescent="0.25">
      <c r="A369" s="11">
        <v>3050</v>
      </c>
      <c r="B369" s="8"/>
      <c r="C369" s="9" t="s">
        <v>30</v>
      </c>
      <c r="D369" s="10">
        <v>117.10173420800001</v>
      </c>
      <c r="E369" s="12">
        <f>D369*(1-'[1]Discounts page'!D$10)</f>
        <v>64.405953814400007</v>
      </c>
      <c r="F369" s="10">
        <v>105.39156078720001</v>
      </c>
      <c r="G369" s="12">
        <f>F369*(1-'[1]Discounts page'!D$10)</f>
        <v>57.965358432960009</v>
      </c>
      <c r="H369" s="10">
        <v>99.536474076800005</v>
      </c>
      <c r="I369" s="12">
        <f>H369*(1-'[1]Discounts page'!D$10)</f>
        <v>54.745060742240007</v>
      </c>
      <c r="J369" s="47">
        <f t="shared" si="16"/>
        <v>104</v>
      </c>
      <c r="K369" s="48">
        <f t="shared" si="15"/>
        <v>90</v>
      </c>
      <c r="L369" s="49">
        <f t="shared" si="17"/>
        <v>83</v>
      </c>
    </row>
    <row r="370" spans="1:12" ht="15.75" x14ac:dyDescent="0.25">
      <c r="A370" s="11">
        <v>3200</v>
      </c>
      <c r="B370" s="8"/>
      <c r="C370" s="9" t="s">
        <v>30</v>
      </c>
      <c r="D370" s="10">
        <v>122.19983081600002</v>
      </c>
      <c r="E370" s="12">
        <f>D370*(1-'[1]Discounts page'!D$10)</f>
        <v>67.209906948800011</v>
      </c>
      <c r="F370" s="10">
        <v>109.97984773440001</v>
      </c>
      <c r="G370" s="12">
        <f>F370*(1-'[1]Discounts page'!D$10)</f>
        <v>60.48891625392001</v>
      </c>
      <c r="H370" s="10">
        <v>103.86985619360001</v>
      </c>
      <c r="I370" s="12">
        <f>H370*(1-'[1]Discounts page'!D$10)</f>
        <v>57.128420906480009</v>
      </c>
      <c r="J370" s="47">
        <f t="shared" si="16"/>
        <v>108</v>
      </c>
      <c r="K370" s="48">
        <f t="shared" si="15"/>
        <v>94</v>
      </c>
      <c r="L370" s="49">
        <f t="shared" si="17"/>
        <v>86</v>
      </c>
    </row>
    <row r="371" spans="1:12" ht="15.75" x14ac:dyDescent="0.25">
      <c r="A371" s="11">
        <v>3355</v>
      </c>
      <c r="B371" s="8"/>
      <c r="C371" s="9" t="s">
        <v>30</v>
      </c>
      <c r="D371" s="10">
        <v>127.14343964800001</v>
      </c>
      <c r="E371" s="12">
        <f>D371*(1-'[1]Discounts page'!D$10)</f>
        <v>69.928891806400017</v>
      </c>
      <c r="F371" s="10">
        <v>114.42909568320002</v>
      </c>
      <c r="G371" s="12">
        <f>F371*(1-'[1]Discounts page'!D$10)</f>
        <v>62.936002625760018</v>
      </c>
      <c r="H371" s="10">
        <v>108.07192370080001</v>
      </c>
      <c r="I371" s="12">
        <f>H371*(1-'[1]Discounts page'!D$10)</f>
        <v>59.439558035440015</v>
      </c>
      <c r="J371" s="47">
        <f t="shared" si="16"/>
        <v>112</v>
      </c>
      <c r="K371" s="48">
        <f t="shared" si="15"/>
        <v>98</v>
      </c>
      <c r="L371" s="49">
        <f t="shared" si="17"/>
        <v>90</v>
      </c>
    </row>
    <row r="372" spans="1:12" ht="15.75" x14ac:dyDescent="0.25">
      <c r="A372" s="11">
        <v>3510</v>
      </c>
      <c r="B372" s="8"/>
      <c r="C372" s="9" t="s">
        <v>30</v>
      </c>
      <c r="D372" s="10">
        <v>132.39602403200001</v>
      </c>
      <c r="E372" s="12">
        <f>D372*(1-'[1]Discounts page'!D$10)</f>
        <v>72.817813217600019</v>
      </c>
      <c r="F372" s="10">
        <v>119.15642162880002</v>
      </c>
      <c r="G372" s="12">
        <f>F372*(1-'[1]Discounts page'!D$10)</f>
        <v>65.536031895840011</v>
      </c>
      <c r="H372" s="10">
        <v>112.53662042720001</v>
      </c>
      <c r="I372" s="12">
        <f>H372*(1-'[1]Discounts page'!D$10)</f>
        <v>61.895141234960008</v>
      </c>
      <c r="J372" s="47">
        <f t="shared" si="16"/>
        <v>117</v>
      </c>
      <c r="K372" s="48">
        <f t="shared" si="15"/>
        <v>102</v>
      </c>
      <c r="L372" s="49">
        <f t="shared" si="17"/>
        <v>93</v>
      </c>
    </row>
    <row r="373" spans="1:12" ht="15.75" x14ac:dyDescent="0.25">
      <c r="A373" s="11">
        <v>3660</v>
      </c>
      <c r="B373" s="8"/>
      <c r="C373" s="9" t="s">
        <v>30</v>
      </c>
      <c r="D373" s="10">
        <v>137.648608416</v>
      </c>
      <c r="E373" s="12">
        <f>D373*(1-'[1]Discounts page'!D$10)</f>
        <v>75.706734628800007</v>
      </c>
      <c r="F373" s="10">
        <v>123.8837475744</v>
      </c>
      <c r="G373" s="12">
        <f>F373*(1-'[1]Discounts page'!D$10)</f>
        <v>68.136061165920012</v>
      </c>
      <c r="H373" s="10">
        <v>117.0013171536</v>
      </c>
      <c r="I373" s="12">
        <f>H373*(1-'[1]Discounts page'!D$10)</f>
        <v>64.35072443448</v>
      </c>
      <c r="J373" s="47">
        <f t="shared" si="16"/>
        <v>122</v>
      </c>
      <c r="K373" s="48">
        <f t="shared" si="15"/>
        <v>106</v>
      </c>
      <c r="L373" s="49">
        <f t="shared" si="17"/>
        <v>97</v>
      </c>
    </row>
    <row r="374" spans="1:12" ht="15.75" x14ac:dyDescent="0.25">
      <c r="A374" s="11">
        <v>3810</v>
      </c>
      <c r="B374" s="8"/>
      <c r="C374" s="9" t="s">
        <v>30</v>
      </c>
      <c r="D374" s="10">
        <v>142.12875392000001</v>
      </c>
      <c r="E374" s="12">
        <f>D374*(1-'[1]Discounts page'!D$10)</f>
        <v>78.170814656000005</v>
      </c>
      <c r="F374" s="10">
        <v>127.91587852800001</v>
      </c>
      <c r="G374" s="12">
        <f>F374*(1-'[1]Discounts page'!D$10)</f>
        <v>70.353733190400007</v>
      </c>
      <c r="H374" s="10">
        <v>120.80944083200001</v>
      </c>
      <c r="I374" s="12">
        <f>H374*(1-'[1]Discounts page'!D$10)</f>
        <v>66.445192457600015</v>
      </c>
      <c r="J374" s="47">
        <f t="shared" si="16"/>
        <v>126</v>
      </c>
      <c r="K374" s="48">
        <f t="shared" si="15"/>
        <v>110</v>
      </c>
      <c r="L374" s="49">
        <f t="shared" si="17"/>
        <v>100</v>
      </c>
    </row>
    <row r="375" spans="1:12" ht="15.75" x14ac:dyDescent="0.25">
      <c r="A375" s="11">
        <v>3965</v>
      </c>
      <c r="B375" s="8"/>
      <c r="C375" s="9" t="s">
        <v>30</v>
      </c>
      <c r="D375" s="10">
        <v>147.381338304</v>
      </c>
      <c r="E375" s="12">
        <f>D375*(1-'[1]Discounts page'!D$10)</f>
        <v>81.059736067200006</v>
      </c>
      <c r="F375" s="10">
        <v>132.64320447360001</v>
      </c>
      <c r="G375" s="12">
        <f>F375*(1-'[1]Discounts page'!D$10)</f>
        <v>72.953762460480007</v>
      </c>
      <c r="H375" s="10">
        <v>125.2741375584</v>
      </c>
      <c r="I375" s="12">
        <f>H375*(1-'[1]Discounts page'!D$10)</f>
        <v>68.900775657120008</v>
      </c>
      <c r="J375" s="47">
        <f t="shared" si="16"/>
        <v>130</v>
      </c>
      <c r="K375" s="48">
        <f t="shared" si="15"/>
        <v>114</v>
      </c>
      <c r="L375" s="49">
        <f t="shared" si="17"/>
        <v>104</v>
      </c>
    </row>
    <row r="376" spans="1:12" ht="15.75" x14ac:dyDescent="0.25">
      <c r="A376" s="11">
        <v>4115</v>
      </c>
      <c r="B376" s="8"/>
      <c r="C376" s="9" t="s">
        <v>30</v>
      </c>
      <c r="D376" s="10">
        <v>152.32494713599999</v>
      </c>
      <c r="E376" s="12">
        <f>D376*(1-'[1]Discounts page'!D$10)</f>
        <v>83.778720924799998</v>
      </c>
      <c r="F376" s="10">
        <v>137.09245242239999</v>
      </c>
      <c r="G376" s="12">
        <f>F376*(1-'[1]Discounts page'!D$10)</f>
        <v>75.400848832319994</v>
      </c>
      <c r="H376" s="10">
        <v>129.4762050656</v>
      </c>
      <c r="I376" s="12">
        <f>H376*(1-'[1]Discounts page'!D$10)</f>
        <v>71.211912786080006</v>
      </c>
      <c r="J376" s="47">
        <f t="shared" si="16"/>
        <v>135</v>
      </c>
      <c r="K376" s="48">
        <f t="shared" si="15"/>
        <v>117</v>
      </c>
      <c r="L376" s="49">
        <f t="shared" si="17"/>
        <v>107</v>
      </c>
    </row>
    <row r="377" spans="1:12" ht="15.75" x14ac:dyDescent="0.25">
      <c r="A377" s="11">
        <v>4270</v>
      </c>
      <c r="B377" s="8"/>
      <c r="C377" s="9" t="s">
        <v>30</v>
      </c>
      <c r="D377" s="10">
        <v>157.57753152000004</v>
      </c>
      <c r="E377" s="12">
        <f>D377*(1-'[1]Discounts page'!D$10)</f>
        <v>86.667642336000029</v>
      </c>
      <c r="F377" s="10">
        <v>141.81977836800004</v>
      </c>
      <c r="G377" s="12">
        <f>F377*(1-'[1]Discounts page'!D$10)</f>
        <v>78.000878102400037</v>
      </c>
      <c r="H377" s="10">
        <v>133.94090179200003</v>
      </c>
      <c r="I377" s="12">
        <f>H377*(1-'[1]Discounts page'!D$10)</f>
        <v>73.667495985600027</v>
      </c>
      <c r="J377" s="47">
        <f t="shared" si="16"/>
        <v>139</v>
      </c>
      <c r="K377" s="48">
        <f t="shared" si="15"/>
        <v>121</v>
      </c>
      <c r="L377" s="49">
        <f t="shared" si="17"/>
        <v>111</v>
      </c>
    </row>
    <row r="378" spans="1:12" ht="15.75" x14ac:dyDescent="0.25">
      <c r="A378" s="11">
        <v>4420</v>
      </c>
      <c r="B378" s="8"/>
      <c r="C378" s="9" t="s">
        <v>30</v>
      </c>
      <c r="D378" s="10">
        <v>162.521140352</v>
      </c>
      <c r="E378" s="12">
        <f>D378*(1-'[1]Discounts page'!D$10)</f>
        <v>89.386627193600006</v>
      </c>
      <c r="F378" s="10">
        <v>146.26902631679999</v>
      </c>
      <c r="G378" s="12">
        <f>F378*(1-'[1]Discounts page'!D$10)</f>
        <v>80.44796447424001</v>
      </c>
      <c r="H378" s="10">
        <v>138.14296929919999</v>
      </c>
      <c r="I378" s="12">
        <f>H378*(1-'[1]Discounts page'!D$10)</f>
        <v>75.978633114559997</v>
      </c>
      <c r="J378" s="47">
        <f t="shared" si="16"/>
        <v>144</v>
      </c>
      <c r="K378" s="48">
        <f t="shared" si="15"/>
        <v>125</v>
      </c>
      <c r="L378" s="49">
        <f t="shared" si="17"/>
        <v>114</v>
      </c>
    </row>
    <row r="379" spans="1:12" ht="15.75" x14ac:dyDescent="0.25">
      <c r="A379" s="11">
        <v>4575</v>
      </c>
      <c r="B379" s="8"/>
      <c r="C379" s="9" t="s">
        <v>30</v>
      </c>
      <c r="D379" s="10">
        <v>167.61923696000005</v>
      </c>
      <c r="E379" s="12">
        <f>D379*(1-'[1]Discounts page'!D$10)</f>
        <v>92.190580328000038</v>
      </c>
      <c r="F379" s="10">
        <v>150.85731326400006</v>
      </c>
      <c r="G379" s="12">
        <f>F379*(1-'[1]Discounts page'!D$10)</f>
        <v>82.971522295200032</v>
      </c>
      <c r="H379" s="10">
        <v>142.47635141600003</v>
      </c>
      <c r="I379" s="12">
        <f>H379*(1-'[1]Discounts page'!D$10)</f>
        <v>78.361993278800028</v>
      </c>
      <c r="J379" s="47">
        <f t="shared" si="16"/>
        <v>148</v>
      </c>
      <c r="K379" s="48">
        <f t="shared" si="15"/>
        <v>129</v>
      </c>
      <c r="L379" s="49">
        <f t="shared" si="17"/>
        <v>118</v>
      </c>
    </row>
    <row r="380" spans="1:12" ht="15.75" x14ac:dyDescent="0.25">
      <c r="A380" s="11">
        <v>4725</v>
      </c>
      <c r="B380" s="8"/>
      <c r="C380" s="9" t="s">
        <v>30</v>
      </c>
      <c r="D380" s="10">
        <v>172.56284579200002</v>
      </c>
      <c r="E380" s="12">
        <f>D380*(1-'[1]Discounts page'!D$10)</f>
        <v>94.909565185600016</v>
      </c>
      <c r="F380" s="10">
        <v>155.30656121280003</v>
      </c>
      <c r="G380" s="12">
        <f>F380*(1-'[1]Discounts page'!D$10)</f>
        <v>85.418608667040019</v>
      </c>
      <c r="H380" s="10">
        <v>146.67841892320001</v>
      </c>
      <c r="I380" s="12">
        <f>H380*(1-'[1]Discounts page'!D$10)</f>
        <v>80.673130407760013</v>
      </c>
      <c r="J380" s="47">
        <f t="shared" si="16"/>
        <v>152</v>
      </c>
      <c r="K380" s="48">
        <f t="shared" si="15"/>
        <v>133</v>
      </c>
      <c r="L380" s="49">
        <f t="shared" si="17"/>
        <v>122</v>
      </c>
    </row>
    <row r="381" spans="1:12" ht="15.75" x14ac:dyDescent="0.25">
      <c r="A381" s="11">
        <v>4880</v>
      </c>
      <c r="B381" s="8"/>
      <c r="C381" s="9" t="s">
        <v>30</v>
      </c>
      <c r="D381" s="10">
        <v>177.81543017600001</v>
      </c>
      <c r="E381" s="12">
        <f>D381*(1-'[1]Discounts page'!D$10)</f>
        <v>97.798486596800018</v>
      </c>
      <c r="F381" s="10">
        <v>160.03388715840001</v>
      </c>
      <c r="G381" s="12">
        <f>F381*(1-'[1]Discounts page'!D$10)</f>
        <v>88.018637937120005</v>
      </c>
      <c r="H381" s="10">
        <v>151.14311564959999</v>
      </c>
      <c r="I381" s="12">
        <f>H381*(1-'[1]Discounts page'!D$10)</f>
        <v>83.128713607280005</v>
      </c>
      <c r="J381" s="47">
        <f t="shared" si="16"/>
        <v>157</v>
      </c>
      <c r="K381" s="48">
        <f t="shared" si="15"/>
        <v>137</v>
      </c>
      <c r="L381" s="49">
        <f t="shared" si="17"/>
        <v>125</v>
      </c>
    </row>
    <row r="382" spans="1:12" ht="15.75" x14ac:dyDescent="0.25">
      <c r="A382" s="11">
        <v>5030</v>
      </c>
      <c r="B382" s="8"/>
      <c r="C382" s="9" t="s">
        <v>30</v>
      </c>
      <c r="D382" s="10">
        <v>182.45006345600001</v>
      </c>
      <c r="E382" s="12">
        <f>D382*(1-'[1]Discounts page'!D$10)</f>
        <v>100.34753490080001</v>
      </c>
      <c r="F382" s="10">
        <v>164.20505711040002</v>
      </c>
      <c r="G382" s="12">
        <f>F382*(1-'[1]Discounts page'!D$10)</f>
        <v>90.312781410720021</v>
      </c>
      <c r="H382" s="10">
        <v>155.08255393760001</v>
      </c>
      <c r="I382" s="12">
        <f>H382*(1-'[1]Discounts page'!D$10)</f>
        <v>85.29540466568001</v>
      </c>
      <c r="J382" s="47">
        <f t="shared" si="16"/>
        <v>161</v>
      </c>
      <c r="K382" s="48">
        <f t="shared" si="15"/>
        <v>140</v>
      </c>
      <c r="L382" s="49">
        <f t="shared" si="17"/>
        <v>128</v>
      </c>
    </row>
    <row r="383" spans="1:12" ht="15.75" x14ac:dyDescent="0.25">
      <c r="A383" s="11">
        <v>5185</v>
      </c>
      <c r="B383" s="8"/>
      <c r="C383" s="9" t="s">
        <v>30</v>
      </c>
      <c r="D383" s="10">
        <v>187.54816006399997</v>
      </c>
      <c r="E383" s="12">
        <f>D383*(1-'[1]Discounts page'!D$10)</f>
        <v>103.15148803519999</v>
      </c>
      <c r="F383" s="10">
        <v>168.79334405759997</v>
      </c>
      <c r="G383" s="12">
        <f>F383*(1-'[1]Discounts page'!D$10)</f>
        <v>92.836339231679986</v>
      </c>
      <c r="H383" s="10">
        <v>159.41593605439996</v>
      </c>
      <c r="I383" s="12">
        <f>H383*(1-'[1]Discounts page'!D$10)</f>
        <v>87.678764829919984</v>
      </c>
      <c r="J383" s="47">
        <f t="shared" si="16"/>
        <v>166</v>
      </c>
      <c r="K383" s="48">
        <f t="shared" si="15"/>
        <v>144</v>
      </c>
      <c r="L383" s="49">
        <f t="shared" si="17"/>
        <v>132</v>
      </c>
    </row>
    <row r="384" spans="1:12" ht="15.75" x14ac:dyDescent="0.25">
      <c r="A384" s="11">
        <v>5335</v>
      </c>
      <c r="B384" s="8"/>
      <c r="C384" s="9" t="s">
        <v>30</v>
      </c>
      <c r="D384" s="10">
        <v>192.95523222400001</v>
      </c>
      <c r="E384" s="12">
        <f>D384*(1-'[1]Discounts page'!D$10)</f>
        <v>106.12537772320002</v>
      </c>
      <c r="F384" s="10">
        <v>173.65970900160002</v>
      </c>
      <c r="G384" s="12">
        <f>F384*(1-'[1]Discounts page'!D$10)</f>
        <v>95.512839950880021</v>
      </c>
      <c r="H384" s="10">
        <v>164.0119473904</v>
      </c>
      <c r="I384" s="12">
        <f>H384*(1-'[1]Discounts page'!D$10)</f>
        <v>90.206571064720009</v>
      </c>
      <c r="J384" s="47">
        <f t="shared" si="16"/>
        <v>170</v>
      </c>
      <c r="K384" s="48">
        <f t="shared" si="15"/>
        <v>149</v>
      </c>
      <c r="L384" s="49">
        <f t="shared" si="17"/>
        <v>136</v>
      </c>
    </row>
    <row r="385" spans="1:12" ht="15.75" x14ac:dyDescent="0.25">
      <c r="A385" s="11">
        <v>5490</v>
      </c>
      <c r="B385" s="8"/>
      <c r="C385" s="9" t="s">
        <v>30</v>
      </c>
      <c r="D385" s="10">
        <v>198.05332883200003</v>
      </c>
      <c r="E385" s="12">
        <f>D385*(1-'[1]Discounts page'!D$10)</f>
        <v>108.92933085760002</v>
      </c>
      <c r="F385" s="10">
        <v>178.24799594880002</v>
      </c>
      <c r="G385" s="12">
        <f>F385*(1-'[1]Discounts page'!D$10)</f>
        <v>98.036397771840015</v>
      </c>
      <c r="H385" s="10">
        <v>168.34532950720003</v>
      </c>
      <c r="I385" s="12">
        <f>H385*(1-'[1]Discounts page'!D$10)</f>
        <v>92.589931228960026</v>
      </c>
      <c r="J385" s="47">
        <f t="shared" si="16"/>
        <v>175</v>
      </c>
      <c r="K385" s="48">
        <f t="shared" si="15"/>
        <v>152</v>
      </c>
      <c r="L385" s="49">
        <f t="shared" si="17"/>
        <v>139</v>
      </c>
    </row>
    <row r="386" spans="1:12" ht="15.75" x14ac:dyDescent="0.25">
      <c r="A386" s="11">
        <v>5640</v>
      </c>
      <c r="B386" s="8"/>
      <c r="C386" s="9" t="s">
        <v>30</v>
      </c>
      <c r="D386" s="10">
        <v>202.84244988800003</v>
      </c>
      <c r="E386" s="12">
        <f>D386*(1-'[1]Discounts page'!D$10)</f>
        <v>111.56334743840003</v>
      </c>
      <c r="F386" s="10">
        <v>182.55820489920004</v>
      </c>
      <c r="G386" s="12">
        <f>F386*(1-'[1]Discounts page'!D$10)</f>
        <v>100.40701269456002</v>
      </c>
      <c r="H386" s="10">
        <v>172.41608240480002</v>
      </c>
      <c r="I386" s="12">
        <f>H386*(1-'[1]Discounts page'!D$10)</f>
        <v>94.828845322640021</v>
      </c>
      <c r="J386" s="47">
        <f t="shared" si="16"/>
        <v>179</v>
      </c>
      <c r="K386" s="48">
        <f t="shared" si="15"/>
        <v>156</v>
      </c>
      <c r="L386" s="49">
        <f t="shared" si="17"/>
        <v>143</v>
      </c>
    </row>
    <row r="387" spans="1:12" ht="15.75" x14ac:dyDescent="0.25">
      <c r="A387" s="11">
        <v>5795</v>
      </c>
      <c r="B387" s="8"/>
      <c r="C387" s="9" t="s">
        <v>30</v>
      </c>
      <c r="D387" s="10">
        <v>207.78605872000003</v>
      </c>
      <c r="E387" s="12">
        <f>D387*(1-'[1]Discounts page'!D$10)</f>
        <v>114.28233229600002</v>
      </c>
      <c r="F387" s="10">
        <v>187.00745284800004</v>
      </c>
      <c r="G387" s="12">
        <f>F387*(1-'[1]Discounts page'!D$10)</f>
        <v>102.85409906640002</v>
      </c>
      <c r="H387" s="10">
        <v>176.61814991200001</v>
      </c>
      <c r="I387" s="12">
        <f>H387*(1-'[1]Discounts page'!D$10)</f>
        <v>97.139982451600005</v>
      </c>
      <c r="J387" s="47">
        <f t="shared" si="16"/>
        <v>183</v>
      </c>
      <c r="K387" s="48">
        <f t="shared" si="15"/>
        <v>160</v>
      </c>
      <c r="L387" s="49">
        <f t="shared" si="17"/>
        <v>146</v>
      </c>
    </row>
    <row r="388" spans="1:12" ht="15.75" x14ac:dyDescent="0.25">
      <c r="A388" s="11">
        <v>5945</v>
      </c>
      <c r="B388" s="8"/>
      <c r="C388" s="9" t="s">
        <v>30</v>
      </c>
      <c r="D388" s="10">
        <v>212.88415532799999</v>
      </c>
      <c r="E388" s="12">
        <f>D388*(1-'[1]Discounts page'!D$10)</f>
        <v>117.08628543040001</v>
      </c>
      <c r="F388" s="10">
        <v>191.59573979519999</v>
      </c>
      <c r="G388" s="12">
        <f>F388*(1-'[1]Discounts page'!D$10)</f>
        <v>105.37765688736</v>
      </c>
      <c r="H388" s="10">
        <v>180.95153202879999</v>
      </c>
      <c r="I388" s="12">
        <f>H388*(1-'[1]Discounts page'!D$10)</f>
        <v>99.523342615840008</v>
      </c>
      <c r="J388" s="47">
        <f t="shared" si="16"/>
        <v>188</v>
      </c>
      <c r="K388" s="48">
        <f t="shared" si="15"/>
        <v>164</v>
      </c>
      <c r="L388" s="49">
        <f t="shared" si="17"/>
        <v>150</v>
      </c>
    </row>
    <row r="389" spans="1:12" ht="15.75" x14ac:dyDescent="0.25">
      <c r="A389" s="11">
        <v>6100</v>
      </c>
      <c r="B389" s="8"/>
      <c r="C389" s="9" t="s">
        <v>30</v>
      </c>
      <c r="D389" s="10">
        <v>218.13673971200001</v>
      </c>
      <c r="E389" s="12">
        <f>D389*(1-'[1]Discounts page'!D$10)</f>
        <v>119.97520684160001</v>
      </c>
      <c r="F389" s="10">
        <v>196.32306574080002</v>
      </c>
      <c r="G389" s="12">
        <f>F389*(1-'[1]Discounts page'!D$10)</f>
        <v>107.97768615744002</v>
      </c>
      <c r="H389" s="10">
        <v>185.4162287552</v>
      </c>
      <c r="I389" s="12">
        <f>H389*(1-'[1]Discounts page'!D$10)</f>
        <v>101.97892581536</v>
      </c>
      <c r="J389" s="47">
        <f t="shared" si="16"/>
        <v>192</v>
      </c>
      <c r="K389" s="48">
        <f t="shared" si="15"/>
        <v>168</v>
      </c>
      <c r="L389" s="49">
        <f t="shared" si="17"/>
        <v>153</v>
      </c>
    </row>
    <row r="390" spans="1:12" ht="15.75" x14ac:dyDescent="0.25">
      <c r="A390" s="11">
        <v>6250</v>
      </c>
      <c r="B390" s="8"/>
      <c r="C390" s="9" t="s">
        <v>30</v>
      </c>
      <c r="D390" s="10">
        <v>222.92586076800001</v>
      </c>
      <c r="E390" s="12">
        <f>D390*(1-'[1]Discounts page'!D$10)</f>
        <v>122.60922342240001</v>
      </c>
      <c r="F390" s="10">
        <v>200.6332746912</v>
      </c>
      <c r="G390" s="12">
        <f>F390*(1-'[1]Discounts page'!D$10)</f>
        <v>110.34830108016001</v>
      </c>
      <c r="H390" s="10">
        <v>189.48698165280001</v>
      </c>
      <c r="I390" s="12">
        <f>H390*(1-'[1]Discounts page'!D$10)</f>
        <v>104.21783990904001</v>
      </c>
      <c r="J390" s="47">
        <f t="shared" si="16"/>
        <v>197</v>
      </c>
      <c r="K390" s="48">
        <f t="shared" si="15"/>
        <v>172</v>
      </c>
      <c r="L390" s="49">
        <f t="shared" si="17"/>
        <v>157</v>
      </c>
    </row>
    <row r="391" spans="1:12" ht="15.75" x14ac:dyDescent="0.25">
      <c r="A391" s="11">
        <v>6400</v>
      </c>
      <c r="B391" s="8"/>
      <c r="C391" s="9" t="s">
        <v>30</v>
      </c>
      <c r="D391" s="10">
        <v>228.17844515200002</v>
      </c>
      <c r="E391" s="12">
        <f>D391*(1-'[1]Discounts page'!D$10)</f>
        <v>125.49814483360002</v>
      </c>
      <c r="F391" s="10">
        <v>205.36060063680003</v>
      </c>
      <c r="G391" s="12">
        <f>F391*(1-'[1]Discounts page'!D$10)</f>
        <v>112.94833035024003</v>
      </c>
      <c r="H391" s="10">
        <v>193.95167837920002</v>
      </c>
      <c r="I391" s="12">
        <f>H391*(1-'[1]Discounts page'!D$10)</f>
        <v>106.67342310856002</v>
      </c>
      <c r="J391" s="47">
        <f t="shared" si="16"/>
        <v>201</v>
      </c>
      <c r="K391" s="48">
        <f t="shared" si="15"/>
        <v>176</v>
      </c>
      <c r="L391" s="49">
        <f t="shared" si="17"/>
        <v>161</v>
      </c>
    </row>
    <row r="392" spans="1:12" ht="15.75" x14ac:dyDescent="0.25">
      <c r="A392" s="11" t="s">
        <v>14</v>
      </c>
      <c r="B392" s="8"/>
      <c r="C392" s="9" t="s">
        <v>30</v>
      </c>
      <c r="D392" s="10">
        <v>233.27654176000001</v>
      </c>
      <c r="E392" s="12">
        <f>D392*(1-'[1]Discounts page'!D$10)</f>
        <v>128.30209796800003</v>
      </c>
      <c r="F392" s="10">
        <v>209.948887584</v>
      </c>
      <c r="G392" s="12">
        <f>F392*(1-'[1]Discounts page'!D$10)</f>
        <v>115.47188817120001</v>
      </c>
      <c r="H392" s="10">
        <v>198.285060496</v>
      </c>
      <c r="I392" s="12">
        <f>H392*(1-'[1]Discounts page'!D$10)</f>
        <v>109.0567832728</v>
      </c>
      <c r="J392" s="47">
        <f t="shared" si="16"/>
        <v>206</v>
      </c>
      <c r="K392" s="48">
        <f t="shared" si="15"/>
        <v>179</v>
      </c>
      <c r="L392" s="49">
        <f t="shared" si="17"/>
        <v>164</v>
      </c>
    </row>
    <row r="393" spans="1:12" ht="15.75" x14ac:dyDescent="0.25">
      <c r="A393" s="11" t="s">
        <v>15</v>
      </c>
      <c r="B393" s="8"/>
      <c r="C393" s="9" t="s">
        <v>30</v>
      </c>
      <c r="D393" s="10">
        <v>238.22015059200001</v>
      </c>
      <c r="E393" s="12">
        <f>D393*(1-'[1]Discounts page'!D$10)</f>
        <v>131.02108282560002</v>
      </c>
      <c r="F393" s="10">
        <v>214.39813553280001</v>
      </c>
      <c r="G393" s="12">
        <f>F393*(1-'[1]Discounts page'!D$10)</f>
        <v>117.91897454304002</v>
      </c>
      <c r="H393" s="10">
        <v>202.48712800320001</v>
      </c>
      <c r="I393" s="12">
        <f>H393*(1-'[1]Discounts page'!D$10)</f>
        <v>111.36792040176002</v>
      </c>
      <c r="J393" s="47">
        <f t="shared" si="16"/>
        <v>210</v>
      </c>
      <c r="K393" s="48">
        <f t="shared" ref="K393:K456" si="18">ROUNDUP(G393*1.55,0)</f>
        <v>183</v>
      </c>
      <c r="L393" s="49">
        <f t="shared" si="17"/>
        <v>168</v>
      </c>
    </row>
    <row r="394" spans="1:12" ht="15.75" x14ac:dyDescent="0.25">
      <c r="A394" s="11" t="s">
        <v>16</v>
      </c>
      <c r="B394" s="8"/>
      <c r="C394" s="9" t="s">
        <v>30</v>
      </c>
      <c r="D394" s="10">
        <v>243.16375942400003</v>
      </c>
      <c r="E394" s="12">
        <f>D394*(1-'[1]Discounts page'!D$10)</f>
        <v>133.74006768320004</v>
      </c>
      <c r="F394" s="10">
        <v>218.84738348160005</v>
      </c>
      <c r="G394" s="12">
        <f>F394*(1-'[1]Discounts page'!D$10)</f>
        <v>120.36606091488004</v>
      </c>
      <c r="H394" s="10">
        <v>206.68919551040003</v>
      </c>
      <c r="I394" s="12">
        <f>H394*(1-'[1]Discounts page'!D$10)</f>
        <v>113.67905753072003</v>
      </c>
      <c r="J394" s="47">
        <f t="shared" ref="J394:J457" si="19">ROUNDUP(E394*1.6,0)</f>
        <v>214</v>
      </c>
      <c r="K394" s="48">
        <f t="shared" si="18"/>
        <v>187</v>
      </c>
      <c r="L394" s="49">
        <f t="shared" ref="L394:L457" si="20">ROUNDUP(I394*1.5,0)</f>
        <v>171</v>
      </c>
    </row>
    <row r="395" spans="1:12" ht="15.75" x14ac:dyDescent="0.25">
      <c r="A395" s="11" t="s">
        <v>17</v>
      </c>
      <c r="B395" s="8"/>
      <c r="C395" s="9" t="s">
        <v>30</v>
      </c>
      <c r="D395" s="10">
        <v>248.10736825600003</v>
      </c>
      <c r="E395" s="12">
        <f>D395*(1-'[1]Discounts page'!D$10)</f>
        <v>136.45905254080003</v>
      </c>
      <c r="F395" s="10">
        <v>223.29663143040003</v>
      </c>
      <c r="G395" s="12">
        <f>F395*(1-'[1]Discounts page'!D$10)</f>
        <v>122.81314728672002</v>
      </c>
      <c r="H395" s="10">
        <v>210.89126301760001</v>
      </c>
      <c r="I395" s="12">
        <f>H395*(1-'[1]Discounts page'!D$10)</f>
        <v>115.99019465968001</v>
      </c>
      <c r="J395" s="47">
        <f t="shared" si="19"/>
        <v>219</v>
      </c>
      <c r="K395" s="48">
        <f t="shared" si="18"/>
        <v>191</v>
      </c>
      <c r="L395" s="49">
        <f t="shared" si="20"/>
        <v>174</v>
      </c>
    </row>
    <row r="396" spans="1:12" ht="15.75" x14ac:dyDescent="0.25">
      <c r="A396" s="11" t="s">
        <v>18</v>
      </c>
      <c r="B396" s="8"/>
      <c r="C396" s="9" t="s">
        <v>30</v>
      </c>
      <c r="D396" s="10">
        <v>253.20546486400002</v>
      </c>
      <c r="E396" s="12">
        <f>D396*(1-'[1]Discounts page'!D$10)</f>
        <v>139.26300567520002</v>
      </c>
      <c r="F396" s="10">
        <v>227.88491837760003</v>
      </c>
      <c r="G396" s="12">
        <f>F396*(1-'[1]Discounts page'!D$10)</f>
        <v>125.33670510768003</v>
      </c>
      <c r="H396" s="10">
        <v>215.22464513440002</v>
      </c>
      <c r="I396" s="12">
        <f>H396*(1-'[1]Discounts page'!D$10)</f>
        <v>118.37355482392002</v>
      </c>
      <c r="J396" s="47">
        <f t="shared" si="19"/>
        <v>223</v>
      </c>
      <c r="K396" s="48">
        <f t="shared" si="18"/>
        <v>195</v>
      </c>
      <c r="L396" s="49">
        <f t="shared" si="20"/>
        <v>178</v>
      </c>
    </row>
    <row r="397" spans="1:12" ht="15.75" x14ac:dyDescent="0.25">
      <c r="A397" s="11" t="s">
        <v>19</v>
      </c>
      <c r="B397" s="8"/>
      <c r="C397" s="9" t="s">
        <v>30</v>
      </c>
      <c r="D397" s="10">
        <v>258.45804924799995</v>
      </c>
      <c r="E397" s="12">
        <f>D397*(1-'[1]Discounts page'!D$10)</f>
        <v>142.15192708639998</v>
      </c>
      <c r="F397" s="10">
        <v>232.61224432319997</v>
      </c>
      <c r="G397" s="12">
        <f>F397*(1-'[1]Discounts page'!D$10)</f>
        <v>127.93673437775999</v>
      </c>
      <c r="H397" s="10">
        <v>219.68934186079994</v>
      </c>
      <c r="I397" s="12">
        <f>H397*(1-'[1]Discounts page'!D$10)</f>
        <v>120.82913802343998</v>
      </c>
      <c r="J397" s="47">
        <f t="shared" si="19"/>
        <v>228</v>
      </c>
      <c r="K397" s="48">
        <f t="shared" si="18"/>
        <v>199</v>
      </c>
      <c r="L397" s="49">
        <f t="shared" si="20"/>
        <v>182</v>
      </c>
    </row>
    <row r="398" spans="1:12" ht="15.75" x14ac:dyDescent="0.25">
      <c r="A398" s="11" t="s">
        <v>20</v>
      </c>
      <c r="B398" s="8"/>
      <c r="C398" s="9" t="s">
        <v>30</v>
      </c>
      <c r="D398" s="10">
        <v>263.71063363200005</v>
      </c>
      <c r="E398" s="12">
        <f>D398*(1-'[1]Discounts page'!D$10)</f>
        <v>145.04084849760005</v>
      </c>
      <c r="F398" s="10">
        <v>237.33957026880006</v>
      </c>
      <c r="G398" s="12">
        <f>F398*(1-'[1]Discounts page'!D$10)</f>
        <v>130.53676364784005</v>
      </c>
      <c r="H398" s="10">
        <v>224.15403858720003</v>
      </c>
      <c r="I398" s="12">
        <f>H398*(1-'[1]Discounts page'!D$10)</f>
        <v>123.28472122296003</v>
      </c>
      <c r="J398" s="47">
        <f t="shared" si="19"/>
        <v>233</v>
      </c>
      <c r="K398" s="48">
        <f t="shared" si="18"/>
        <v>203</v>
      </c>
      <c r="L398" s="49">
        <f t="shared" si="20"/>
        <v>185</v>
      </c>
    </row>
    <row r="399" spans="1:12" ht="15.75" x14ac:dyDescent="0.25">
      <c r="A399" s="11" t="s">
        <v>21</v>
      </c>
      <c r="B399" s="8"/>
      <c r="C399" s="9" t="s">
        <v>30</v>
      </c>
      <c r="D399" s="10">
        <v>268.190779136</v>
      </c>
      <c r="E399" s="12">
        <f>D399*(1-'[1]Discounts page'!D$10)</f>
        <v>147.50492852480002</v>
      </c>
      <c r="F399" s="10">
        <v>241.37170122240002</v>
      </c>
      <c r="G399" s="12">
        <f>F399*(1-'[1]Discounts page'!D$10)</f>
        <v>132.75443567232003</v>
      </c>
      <c r="H399" s="10">
        <v>227.9621622656</v>
      </c>
      <c r="I399" s="12">
        <f>H399*(1-'[1]Discounts page'!D$10)</f>
        <v>125.37918924608002</v>
      </c>
      <c r="J399" s="47">
        <f t="shared" si="19"/>
        <v>237</v>
      </c>
      <c r="K399" s="48">
        <f t="shared" si="18"/>
        <v>206</v>
      </c>
      <c r="L399" s="49">
        <f t="shared" si="20"/>
        <v>189</v>
      </c>
    </row>
    <row r="400" spans="1:12" ht="15.75" x14ac:dyDescent="0.25">
      <c r="A400" s="11" t="s">
        <v>22</v>
      </c>
      <c r="B400" s="8"/>
      <c r="C400" s="9" t="s">
        <v>30</v>
      </c>
      <c r="D400" s="10">
        <v>273.59785129600004</v>
      </c>
      <c r="E400" s="12">
        <f>D400*(1-'[1]Discounts page'!D$10)</f>
        <v>150.47881821280004</v>
      </c>
      <c r="F400" s="10">
        <v>246.23806616640005</v>
      </c>
      <c r="G400" s="12">
        <f>F400*(1-'[1]Discounts page'!D$10)</f>
        <v>135.43093639152005</v>
      </c>
      <c r="H400" s="10">
        <v>232.55817360160003</v>
      </c>
      <c r="I400" s="12">
        <f>H400*(1-'[1]Discounts page'!D$10)</f>
        <v>127.90699548088003</v>
      </c>
      <c r="J400" s="47">
        <f t="shared" si="19"/>
        <v>241</v>
      </c>
      <c r="K400" s="48">
        <f t="shared" si="18"/>
        <v>210</v>
      </c>
      <c r="L400" s="49">
        <f t="shared" si="20"/>
        <v>192</v>
      </c>
    </row>
    <row r="401" spans="1:12" ht="15.75" x14ac:dyDescent="0.25">
      <c r="A401" s="11" t="s">
        <v>23</v>
      </c>
      <c r="B401" s="8"/>
      <c r="C401" s="9" t="s">
        <v>30</v>
      </c>
      <c r="D401" s="10">
        <v>278.69594790400004</v>
      </c>
      <c r="E401" s="12">
        <f>D401*(1-'[1]Discounts page'!D$10)</f>
        <v>153.28277134720003</v>
      </c>
      <c r="F401" s="10">
        <v>250.82635311360005</v>
      </c>
      <c r="G401" s="12">
        <f>F401*(1-'[1]Discounts page'!D$10)</f>
        <v>137.95449421248003</v>
      </c>
      <c r="H401" s="10">
        <v>236.89155571840001</v>
      </c>
      <c r="I401" s="12">
        <f>H401*(1-'[1]Discounts page'!D$10)</f>
        <v>130.29035564512003</v>
      </c>
      <c r="J401" s="47">
        <f t="shared" si="19"/>
        <v>246</v>
      </c>
      <c r="K401" s="48">
        <f t="shared" si="18"/>
        <v>214</v>
      </c>
      <c r="L401" s="49">
        <f t="shared" si="20"/>
        <v>196</v>
      </c>
    </row>
    <row r="402" spans="1:12" ht="15.75" x14ac:dyDescent="0.25">
      <c r="A402" s="11" t="s">
        <v>24</v>
      </c>
      <c r="B402" s="8"/>
      <c r="C402" s="9" t="s">
        <v>30</v>
      </c>
      <c r="D402" s="10">
        <v>283.33058118400004</v>
      </c>
      <c r="E402" s="12">
        <f>D402*(1-'[1]Discounts page'!D$10)</f>
        <v>155.83181965120002</v>
      </c>
      <c r="F402" s="10">
        <v>254.99752306560003</v>
      </c>
      <c r="G402" s="12">
        <f>F402*(1-'[1]Discounts page'!D$10)</f>
        <v>140.24863768608003</v>
      </c>
      <c r="H402" s="10">
        <v>240.83099400640003</v>
      </c>
      <c r="I402" s="12">
        <f>H402*(1-'[1]Discounts page'!D$10)</f>
        <v>132.45704670352004</v>
      </c>
      <c r="J402" s="47">
        <f t="shared" si="19"/>
        <v>250</v>
      </c>
      <c r="K402" s="48">
        <f t="shared" si="18"/>
        <v>218</v>
      </c>
      <c r="L402" s="49">
        <f t="shared" si="20"/>
        <v>199</v>
      </c>
    </row>
    <row r="403" spans="1:12" ht="15.75" x14ac:dyDescent="0.25">
      <c r="A403" s="7" t="s">
        <v>26</v>
      </c>
      <c r="B403" s="8"/>
      <c r="C403" s="9"/>
      <c r="D403" s="10"/>
      <c r="E403" s="12"/>
      <c r="F403" s="10"/>
      <c r="G403" s="12"/>
      <c r="H403" s="10"/>
      <c r="I403" s="12"/>
      <c r="J403" s="47">
        <f t="shared" si="19"/>
        <v>0</v>
      </c>
      <c r="K403" s="48">
        <f t="shared" si="18"/>
        <v>0</v>
      </c>
      <c r="L403" s="49">
        <f t="shared" si="20"/>
        <v>0</v>
      </c>
    </row>
    <row r="404" spans="1:12" ht="15.75" x14ac:dyDescent="0.25">
      <c r="A404" s="11">
        <v>2895</v>
      </c>
      <c r="B404" s="8"/>
      <c r="C404" s="9" t="s">
        <v>30</v>
      </c>
      <c r="D404" s="10">
        <v>137.18514508800001</v>
      </c>
      <c r="E404" s="12">
        <f>D404*(1-'[1]Discounts page'!D$10)</f>
        <v>75.451829798400013</v>
      </c>
      <c r="F404" s="10">
        <v>123.46663057920001</v>
      </c>
      <c r="G404" s="12">
        <f>F404*(1-'[1]Discounts page'!D$10)</f>
        <v>67.90664681856002</v>
      </c>
      <c r="H404" s="10">
        <v>116.60737332480001</v>
      </c>
      <c r="I404" s="12">
        <f>H404*(1-'[1]Discounts page'!D$10)</f>
        <v>64.134055328640017</v>
      </c>
      <c r="J404" s="47">
        <f t="shared" si="19"/>
        <v>121</v>
      </c>
      <c r="K404" s="48">
        <f t="shared" si="18"/>
        <v>106</v>
      </c>
      <c r="L404" s="49">
        <f t="shared" si="20"/>
        <v>97</v>
      </c>
    </row>
    <row r="405" spans="1:12" ht="15.75" x14ac:dyDescent="0.25">
      <c r="A405" s="11">
        <v>3050</v>
      </c>
      <c r="B405" s="8"/>
      <c r="C405" s="9" t="s">
        <v>30</v>
      </c>
      <c r="D405" s="10">
        <v>143.828119456</v>
      </c>
      <c r="E405" s="12">
        <f>D405*(1-'[1]Discounts page'!D$10)</f>
        <v>79.105465700800011</v>
      </c>
      <c r="F405" s="10">
        <v>129.4453075104</v>
      </c>
      <c r="G405" s="12">
        <f>F405*(1-'[1]Discounts page'!D$10)</f>
        <v>71.19491913072001</v>
      </c>
      <c r="H405" s="10">
        <v>122.25390153759999</v>
      </c>
      <c r="I405" s="12">
        <f>H405*(1-'[1]Discounts page'!D$10)</f>
        <v>67.239645845680002</v>
      </c>
      <c r="J405" s="47">
        <f t="shared" si="19"/>
        <v>127</v>
      </c>
      <c r="K405" s="48">
        <f t="shared" si="18"/>
        <v>111</v>
      </c>
      <c r="L405" s="49">
        <f t="shared" si="20"/>
        <v>101</v>
      </c>
    </row>
    <row r="406" spans="1:12" ht="15.75" x14ac:dyDescent="0.25">
      <c r="A406" s="11">
        <v>3200</v>
      </c>
      <c r="B406" s="8"/>
      <c r="C406" s="9" t="s">
        <v>30</v>
      </c>
      <c r="D406" s="10">
        <v>149.85314272000002</v>
      </c>
      <c r="E406" s="12">
        <f>D406*(1-'[1]Discounts page'!D$10)</f>
        <v>82.419228496000017</v>
      </c>
      <c r="F406" s="10">
        <v>134.86782844800001</v>
      </c>
      <c r="G406" s="12">
        <f>F406*(1-'[1]Discounts page'!D$10)</f>
        <v>74.177305646400015</v>
      </c>
      <c r="H406" s="10">
        <v>127.37517131200002</v>
      </c>
      <c r="I406" s="12">
        <f>H406*(1-'[1]Discounts page'!D$10)</f>
        <v>70.056344221600014</v>
      </c>
      <c r="J406" s="47">
        <f t="shared" si="19"/>
        <v>132</v>
      </c>
      <c r="K406" s="48">
        <f t="shared" si="18"/>
        <v>115</v>
      </c>
      <c r="L406" s="49">
        <f t="shared" si="20"/>
        <v>106</v>
      </c>
    </row>
    <row r="407" spans="1:12" ht="15.75" x14ac:dyDescent="0.25">
      <c r="A407" s="11">
        <v>3355</v>
      </c>
      <c r="B407" s="8"/>
      <c r="C407" s="9" t="s">
        <v>30</v>
      </c>
      <c r="D407" s="10">
        <v>156.34162931200001</v>
      </c>
      <c r="E407" s="12">
        <f>D407*(1-'[1]Discounts page'!D$10)</f>
        <v>85.987896121600016</v>
      </c>
      <c r="F407" s="10">
        <v>140.70746638080001</v>
      </c>
      <c r="G407" s="12">
        <f>F407*(1-'[1]Discounts page'!D$10)</f>
        <v>77.389106509440012</v>
      </c>
      <c r="H407" s="10">
        <v>132.8903849152</v>
      </c>
      <c r="I407" s="12">
        <f>H407*(1-'[1]Discounts page'!D$10)</f>
        <v>73.08971170336001</v>
      </c>
      <c r="J407" s="47">
        <f t="shared" si="19"/>
        <v>138</v>
      </c>
      <c r="K407" s="48">
        <f t="shared" si="18"/>
        <v>120</v>
      </c>
      <c r="L407" s="49">
        <f t="shared" si="20"/>
        <v>110</v>
      </c>
    </row>
    <row r="408" spans="1:12" ht="15.75" x14ac:dyDescent="0.25">
      <c r="A408" s="11">
        <v>3510</v>
      </c>
      <c r="B408" s="8"/>
      <c r="C408" s="9" t="s">
        <v>30</v>
      </c>
      <c r="D408" s="10">
        <v>162.675628128</v>
      </c>
      <c r="E408" s="12">
        <f>D408*(1-'[1]Discounts page'!D$10)</f>
        <v>89.471595470400004</v>
      </c>
      <c r="F408" s="10">
        <v>146.40806531519999</v>
      </c>
      <c r="G408" s="12">
        <f>F408*(1-'[1]Discounts page'!D$10)</f>
        <v>80.524435923360002</v>
      </c>
      <c r="H408" s="10">
        <v>138.27428390879999</v>
      </c>
      <c r="I408" s="12">
        <f>H408*(1-'[1]Discounts page'!D$10)</f>
        <v>76.050856149840001</v>
      </c>
      <c r="J408" s="47">
        <f t="shared" si="19"/>
        <v>144</v>
      </c>
      <c r="K408" s="48">
        <f t="shared" si="18"/>
        <v>125</v>
      </c>
      <c r="L408" s="49">
        <f t="shared" si="20"/>
        <v>115</v>
      </c>
    </row>
    <row r="409" spans="1:12" ht="15.75" x14ac:dyDescent="0.25">
      <c r="A409" s="11">
        <v>3660</v>
      </c>
      <c r="B409" s="8"/>
      <c r="C409" s="9" t="s">
        <v>30</v>
      </c>
      <c r="D409" s="10">
        <v>168.85513916800002</v>
      </c>
      <c r="E409" s="12">
        <f>D409*(1-'[1]Discounts page'!D$10)</f>
        <v>92.870326542400022</v>
      </c>
      <c r="F409" s="10">
        <v>151.96962525120003</v>
      </c>
      <c r="G409" s="12">
        <f>F409*(1-'[1]Discounts page'!D$10)</f>
        <v>83.583293888160028</v>
      </c>
      <c r="H409" s="10">
        <v>143.5268682928</v>
      </c>
      <c r="I409" s="12">
        <f>H409*(1-'[1]Discounts page'!D$10)</f>
        <v>78.939777561040003</v>
      </c>
      <c r="J409" s="47">
        <f t="shared" si="19"/>
        <v>149</v>
      </c>
      <c r="K409" s="48">
        <f t="shared" si="18"/>
        <v>130</v>
      </c>
      <c r="L409" s="49">
        <f t="shared" si="20"/>
        <v>119</v>
      </c>
    </row>
    <row r="410" spans="1:12" ht="15.75" x14ac:dyDescent="0.25">
      <c r="A410" s="11">
        <v>3810</v>
      </c>
      <c r="B410" s="8"/>
      <c r="C410" s="9" t="s">
        <v>30</v>
      </c>
      <c r="D410" s="10">
        <v>175.03465020800002</v>
      </c>
      <c r="E410" s="12">
        <f>D410*(1-'[1]Discounts page'!D$10)</f>
        <v>96.269057614400012</v>
      </c>
      <c r="F410" s="10">
        <v>157.53118518720001</v>
      </c>
      <c r="G410" s="12">
        <f>F410*(1-'[1]Discounts page'!D$10)</f>
        <v>86.642151852960012</v>
      </c>
      <c r="H410" s="10">
        <v>148.77945267680002</v>
      </c>
      <c r="I410" s="12">
        <f>H410*(1-'[1]Discounts page'!D$10)</f>
        <v>81.828698972240019</v>
      </c>
      <c r="J410" s="47">
        <f t="shared" si="19"/>
        <v>155</v>
      </c>
      <c r="K410" s="48">
        <f t="shared" si="18"/>
        <v>135</v>
      </c>
      <c r="L410" s="49">
        <f t="shared" si="20"/>
        <v>123</v>
      </c>
    </row>
    <row r="411" spans="1:12" ht="15.75" x14ac:dyDescent="0.25">
      <c r="A411" s="11">
        <v>3965</v>
      </c>
      <c r="B411" s="8"/>
      <c r="C411" s="9" t="s">
        <v>30</v>
      </c>
      <c r="D411" s="10">
        <v>181.67762457600003</v>
      </c>
      <c r="E411" s="12">
        <f>D411*(1-'[1]Discounts page'!D$10)</f>
        <v>99.922693516800024</v>
      </c>
      <c r="F411" s="10">
        <v>163.50986211840004</v>
      </c>
      <c r="G411" s="12">
        <f>F411*(1-'[1]Discounts page'!D$10)</f>
        <v>89.93042416512003</v>
      </c>
      <c r="H411" s="10">
        <v>154.42598088960003</v>
      </c>
      <c r="I411" s="12">
        <f>H411*(1-'[1]Discounts page'!D$10)</f>
        <v>84.934289489280019</v>
      </c>
      <c r="J411" s="47">
        <f t="shared" si="19"/>
        <v>160</v>
      </c>
      <c r="K411" s="48">
        <f t="shared" si="18"/>
        <v>140</v>
      </c>
      <c r="L411" s="49">
        <f t="shared" si="20"/>
        <v>128</v>
      </c>
    </row>
    <row r="412" spans="1:12" ht="15.75" x14ac:dyDescent="0.25">
      <c r="A412" s="11">
        <v>4115</v>
      </c>
      <c r="B412" s="8"/>
      <c r="C412" s="9" t="s">
        <v>30</v>
      </c>
      <c r="D412" s="10">
        <v>187.54816006399997</v>
      </c>
      <c r="E412" s="12">
        <f>D412*(1-'[1]Discounts page'!D$10)</f>
        <v>103.15148803519999</v>
      </c>
      <c r="F412" s="10">
        <v>168.79334405759997</v>
      </c>
      <c r="G412" s="12">
        <f>F412*(1-'[1]Discounts page'!D$10)</f>
        <v>92.836339231679986</v>
      </c>
      <c r="H412" s="10">
        <v>159.41593605439996</v>
      </c>
      <c r="I412" s="12">
        <f>H412*(1-'[1]Discounts page'!D$10)</f>
        <v>87.678764829919984</v>
      </c>
      <c r="J412" s="47">
        <f t="shared" si="19"/>
        <v>166</v>
      </c>
      <c r="K412" s="48">
        <f t="shared" si="18"/>
        <v>144</v>
      </c>
      <c r="L412" s="49">
        <f t="shared" si="20"/>
        <v>132</v>
      </c>
    </row>
    <row r="413" spans="1:12" ht="15.75" x14ac:dyDescent="0.25">
      <c r="A413" s="11">
        <v>4270</v>
      </c>
      <c r="B413" s="8"/>
      <c r="C413" s="9" t="s">
        <v>30</v>
      </c>
      <c r="D413" s="10">
        <v>194.19113443200004</v>
      </c>
      <c r="E413" s="12">
        <f>D413*(1-'[1]Discounts page'!D$10)</f>
        <v>106.80512393760003</v>
      </c>
      <c r="F413" s="10">
        <v>174.77202098880005</v>
      </c>
      <c r="G413" s="12">
        <f>F413*(1-'[1]Discounts page'!D$10)</f>
        <v>96.124611543840032</v>
      </c>
      <c r="H413" s="10">
        <v>165.06246426720003</v>
      </c>
      <c r="I413" s="12">
        <f>H413*(1-'[1]Discounts page'!D$10)</f>
        <v>90.784355346960027</v>
      </c>
      <c r="J413" s="47">
        <f t="shared" si="19"/>
        <v>171</v>
      </c>
      <c r="K413" s="48">
        <f t="shared" si="18"/>
        <v>149</v>
      </c>
      <c r="L413" s="49">
        <f t="shared" si="20"/>
        <v>137</v>
      </c>
    </row>
    <row r="414" spans="1:12" ht="15.75" x14ac:dyDescent="0.25">
      <c r="A414" s="11">
        <v>4420</v>
      </c>
      <c r="B414" s="8"/>
      <c r="C414" s="9" t="s">
        <v>30</v>
      </c>
      <c r="D414" s="10">
        <v>200.67962102400003</v>
      </c>
      <c r="E414" s="12">
        <f>D414*(1-'[1]Discounts page'!D$10)</f>
        <v>110.37379156320003</v>
      </c>
      <c r="F414" s="10">
        <v>180.61165892160002</v>
      </c>
      <c r="G414" s="12">
        <f>F414*(1-'[1]Discounts page'!D$10)</f>
        <v>99.336412406880015</v>
      </c>
      <c r="H414" s="10">
        <v>170.57767787040001</v>
      </c>
      <c r="I414" s="12">
        <f>H414*(1-'[1]Discounts page'!D$10)</f>
        <v>93.817722828720008</v>
      </c>
      <c r="J414" s="47">
        <f t="shared" si="19"/>
        <v>177</v>
      </c>
      <c r="K414" s="48">
        <f t="shared" si="18"/>
        <v>154</v>
      </c>
      <c r="L414" s="49">
        <f t="shared" si="20"/>
        <v>141</v>
      </c>
    </row>
    <row r="415" spans="1:12" ht="15.75" x14ac:dyDescent="0.25">
      <c r="A415" s="11">
        <v>4575</v>
      </c>
      <c r="B415" s="8"/>
      <c r="C415" s="9" t="s">
        <v>30</v>
      </c>
      <c r="D415" s="10">
        <v>207.01361984000002</v>
      </c>
      <c r="E415" s="12">
        <f>D415*(1-'[1]Discounts page'!D$10)</f>
        <v>113.85749091200002</v>
      </c>
      <c r="F415" s="10">
        <v>186.31225785600003</v>
      </c>
      <c r="G415" s="12">
        <f>F415*(1-'[1]Discounts page'!D$10)</f>
        <v>102.47174182080002</v>
      </c>
      <c r="H415" s="10">
        <v>175.96157686400002</v>
      </c>
      <c r="I415" s="12">
        <f>H415*(1-'[1]Discounts page'!D$10)</f>
        <v>96.778867275200014</v>
      </c>
      <c r="J415" s="47">
        <f t="shared" si="19"/>
        <v>183</v>
      </c>
      <c r="K415" s="48">
        <f t="shared" si="18"/>
        <v>159</v>
      </c>
      <c r="L415" s="49">
        <f t="shared" si="20"/>
        <v>146</v>
      </c>
    </row>
    <row r="416" spans="1:12" ht="15.75" x14ac:dyDescent="0.25">
      <c r="A416" s="11">
        <v>4725</v>
      </c>
      <c r="B416" s="8"/>
      <c r="C416" s="9" t="s">
        <v>30</v>
      </c>
      <c r="D416" s="10">
        <v>213.34761865600001</v>
      </c>
      <c r="E416" s="12">
        <f>D416*(1-'[1]Discounts page'!D$10)</f>
        <v>117.34119026080002</v>
      </c>
      <c r="F416" s="10">
        <v>192.01285679040001</v>
      </c>
      <c r="G416" s="12">
        <f>F416*(1-'[1]Discounts page'!D$10)</f>
        <v>105.60707123472001</v>
      </c>
      <c r="H416" s="10">
        <v>181.34547585760001</v>
      </c>
      <c r="I416" s="12">
        <f>H416*(1-'[1]Discounts page'!D$10)</f>
        <v>99.740011721680006</v>
      </c>
      <c r="J416" s="47">
        <f t="shared" si="19"/>
        <v>188</v>
      </c>
      <c r="K416" s="48">
        <f t="shared" si="18"/>
        <v>164</v>
      </c>
      <c r="L416" s="49">
        <f t="shared" si="20"/>
        <v>150</v>
      </c>
    </row>
    <row r="417" spans="1:12" ht="15.75" x14ac:dyDescent="0.25">
      <c r="A417" s="11">
        <v>4880</v>
      </c>
      <c r="B417" s="8"/>
      <c r="C417" s="9" t="s">
        <v>30</v>
      </c>
      <c r="D417" s="10">
        <v>219.527129696</v>
      </c>
      <c r="E417" s="12">
        <f>D417*(1-'[1]Discounts page'!D$10)</f>
        <v>120.73992133280001</v>
      </c>
      <c r="F417" s="10">
        <v>197.57441672640002</v>
      </c>
      <c r="G417" s="12">
        <f>F417*(1-'[1]Discounts page'!D$10)</f>
        <v>108.66592919952002</v>
      </c>
      <c r="H417" s="10">
        <v>186.5980602416</v>
      </c>
      <c r="I417" s="12">
        <f>H417*(1-'[1]Discounts page'!D$10)</f>
        <v>102.62893313288001</v>
      </c>
      <c r="J417" s="47">
        <f t="shared" si="19"/>
        <v>194</v>
      </c>
      <c r="K417" s="48">
        <f t="shared" si="18"/>
        <v>169</v>
      </c>
      <c r="L417" s="49">
        <f t="shared" si="20"/>
        <v>154</v>
      </c>
    </row>
    <row r="418" spans="1:12" ht="15.75" x14ac:dyDescent="0.25">
      <c r="A418" s="11">
        <v>5030</v>
      </c>
      <c r="B418" s="8"/>
      <c r="C418" s="9" t="s">
        <v>30</v>
      </c>
      <c r="D418" s="10">
        <v>226.17010406400001</v>
      </c>
      <c r="E418" s="12">
        <f>D418*(1-'[1]Discounts page'!D$10)</f>
        <v>124.39355723520002</v>
      </c>
      <c r="F418" s="10">
        <v>203.55309365760002</v>
      </c>
      <c r="G418" s="12">
        <f>F418*(1-'[1]Discounts page'!D$10)</f>
        <v>111.95420151168001</v>
      </c>
      <c r="H418" s="10">
        <v>192.2445884544</v>
      </c>
      <c r="I418" s="12">
        <f>H418*(1-'[1]Discounts page'!D$10)</f>
        <v>105.73452364992001</v>
      </c>
      <c r="J418" s="47">
        <f t="shared" si="19"/>
        <v>200</v>
      </c>
      <c r="K418" s="48">
        <f t="shared" si="18"/>
        <v>174</v>
      </c>
      <c r="L418" s="49">
        <f t="shared" si="20"/>
        <v>159</v>
      </c>
    </row>
    <row r="419" spans="1:12" ht="15.75" x14ac:dyDescent="0.25">
      <c r="A419" s="11">
        <v>5185</v>
      </c>
      <c r="B419" s="8"/>
      <c r="C419" s="9" t="s">
        <v>30</v>
      </c>
      <c r="D419" s="10">
        <v>232.50410288000006</v>
      </c>
      <c r="E419" s="12">
        <f>D419*(1-'[1]Discounts page'!D$10)</f>
        <v>127.87725658400005</v>
      </c>
      <c r="F419" s="10">
        <v>209.25369259200005</v>
      </c>
      <c r="G419" s="12">
        <f>F419*(1-'[1]Discounts page'!D$10)</f>
        <v>115.08953092560003</v>
      </c>
      <c r="H419" s="10">
        <v>197.62848744800004</v>
      </c>
      <c r="I419" s="12">
        <f>H419*(1-'[1]Discounts page'!D$10)</f>
        <v>108.69566809640003</v>
      </c>
      <c r="J419" s="47">
        <f t="shared" si="19"/>
        <v>205</v>
      </c>
      <c r="K419" s="48">
        <f t="shared" si="18"/>
        <v>179</v>
      </c>
      <c r="L419" s="49">
        <f t="shared" si="20"/>
        <v>164</v>
      </c>
    </row>
    <row r="420" spans="1:12" ht="15.75" x14ac:dyDescent="0.25">
      <c r="A420" s="11">
        <v>5335</v>
      </c>
      <c r="B420" s="8"/>
      <c r="C420" s="9" t="s">
        <v>30</v>
      </c>
      <c r="D420" s="10">
        <v>238.52912614400003</v>
      </c>
      <c r="E420" s="12">
        <f>D420*(1-'[1]Discounts page'!D$10)</f>
        <v>131.19101937920001</v>
      </c>
      <c r="F420" s="10">
        <v>214.67621352960003</v>
      </c>
      <c r="G420" s="12">
        <f>F420*(1-'[1]Discounts page'!D$10)</f>
        <v>118.07191744128002</v>
      </c>
      <c r="H420" s="10">
        <v>202.74975722240004</v>
      </c>
      <c r="I420" s="12">
        <f>H420*(1-'[1]Discounts page'!D$10)</f>
        <v>111.51236647232002</v>
      </c>
      <c r="J420" s="47">
        <f t="shared" si="19"/>
        <v>210</v>
      </c>
      <c r="K420" s="48">
        <f t="shared" si="18"/>
        <v>184</v>
      </c>
      <c r="L420" s="49">
        <f t="shared" si="20"/>
        <v>168</v>
      </c>
    </row>
    <row r="421" spans="1:12" ht="15.75" x14ac:dyDescent="0.25">
      <c r="A421" s="11">
        <v>5490</v>
      </c>
      <c r="B421" s="8"/>
      <c r="C421" s="9" t="s">
        <v>30</v>
      </c>
      <c r="D421" s="10">
        <v>245.32658828800001</v>
      </c>
      <c r="E421" s="12">
        <f>D421*(1-'[1]Discounts page'!D$10)</f>
        <v>134.92962355840001</v>
      </c>
      <c r="F421" s="10">
        <v>220.7939294592</v>
      </c>
      <c r="G421" s="12">
        <f>F421*(1-'[1]Discounts page'!D$10)</f>
        <v>121.43666120256</v>
      </c>
      <c r="H421" s="10">
        <v>208.52760004480001</v>
      </c>
      <c r="I421" s="12">
        <f>H421*(1-'[1]Discounts page'!D$10)</f>
        <v>114.69018002464001</v>
      </c>
      <c r="J421" s="47">
        <f t="shared" si="19"/>
        <v>216</v>
      </c>
      <c r="K421" s="48">
        <f t="shared" si="18"/>
        <v>189</v>
      </c>
      <c r="L421" s="49">
        <f t="shared" si="20"/>
        <v>173</v>
      </c>
    </row>
    <row r="422" spans="1:12" ht="15.75" x14ac:dyDescent="0.25">
      <c r="A422" s="11">
        <v>5640</v>
      </c>
      <c r="B422" s="8"/>
      <c r="C422" s="9" t="s">
        <v>30</v>
      </c>
      <c r="D422" s="10">
        <v>251.81507488000003</v>
      </c>
      <c r="E422" s="12">
        <f>D422*(1-'[1]Discounts page'!D$10)</f>
        <v>138.49829118400004</v>
      </c>
      <c r="F422" s="10">
        <v>226.63356739200003</v>
      </c>
      <c r="G422" s="12">
        <f>F422*(1-'[1]Discounts page'!D$10)</f>
        <v>124.64846206560003</v>
      </c>
      <c r="H422" s="10">
        <v>214.04281364800002</v>
      </c>
      <c r="I422" s="12">
        <f>H422*(1-'[1]Discounts page'!D$10)</f>
        <v>117.72354750640002</v>
      </c>
      <c r="J422" s="47">
        <f t="shared" si="19"/>
        <v>222</v>
      </c>
      <c r="K422" s="48">
        <f t="shared" si="18"/>
        <v>194</v>
      </c>
      <c r="L422" s="49">
        <f t="shared" si="20"/>
        <v>177</v>
      </c>
    </row>
    <row r="423" spans="1:12" ht="15.75" x14ac:dyDescent="0.25">
      <c r="A423" s="11">
        <v>5795</v>
      </c>
      <c r="B423" s="8"/>
      <c r="C423" s="9" t="s">
        <v>30</v>
      </c>
      <c r="D423" s="10">
        <v>258.14907369600002</v>
      </c>
      <c r="E423" s="12">
        <f>D423*(1-'[1]Discounts page'!D$10)</f>
        <v>141.98199053280001</v>
      </c>
      <c r="F423" s="10">
        <v>232.33416632640001</v>
      </c>
      <c r="G423" s="12">
        <f>F423*(1-'[1]Discounts page'!D$10)</f>
        <v>127.78379147952002</v>
      </c>
      <c r="H423" s="10">
        <v>219.42671264160001</v>
      </c>
      <c r="I423" s="12">
        <f>H423*(1-'[1]Discounts page'!D$10)</f>
        <v>120.68469195288002</v>
      </c>
      <c r="J423" s="47">
        <f t="shared" si="19"/>
        <v>228</v>
      </c>
      <c r="K423" s="48">
        <f t="shared" si="18"/>
        <v>199</v>
      </c>
      <c r="L423" s="49">
        <f t="shared" si="20"/>
        <v>182</v>
      </c>
    </row>
    <row r="424" spans="1:12" ht="15.75" x14ac:dyDescent="0.25">
      <c r="A424" s="11">
        <v>5945</v>
      </c>
      <c r="B424" s="8"/>
      <c r="C424" s="9" t="s">
        <v>30</v>
      </c>
      <c r="D424" s="10">
        <v>264.32858473600004</v>
      </c>
      <c r="E424" s="12">
        <f>D424*(1-'[1]Discounts page'!D$10)</f>
        <v>145.38072160480004</v>
      </c>
      <c r="F424" s="10">
        <v>237.89572626240005</v>
      </c>
      <c r="G424" s="12">
        <f>F424*(1-'[1]Discounts page'!D$10)</f>
        <v>130.84264944432005</v>
      </c>
      <c r="H424" s="10">
        <v>224.67929702560002</v>
      </c>
      <c r="I424" s="12">
        <f>H424*(1-'[1]Discounts page'!D$10)</f>
        <v>123.57361336408002</v>
      </c>
      <c r="J424" s="47">
        <f t="shared" si="19"/>
        <v>233</v>
      </c>
      <c r="K424" s="48">
        <f t="shared" si="18"/>
        <v>203</v>
      </c>
      <c r="L424" s="49">
        <f t="shared" si="20"/>
        <v>186</v>
      </c>
    </row>
    <row r="425" spans="1:12" ht="15.75" x14ac:dyDescent="0.25">
      <c r="A425" s="11">
        <v>6100</v>
      </c>
      <c r="B425" s="8"/>
      <c r="C425" s="9" t="s">
        <v>30</v>
      </c>
      <c r="D425" s="10">
        <v>270.97155910400005</v>
      </c>
      <c r="E425" s="12">
        <f>D425*(1-'[1]Discounts page'!D$10)</f>
        <v>149.03435750720004</v>
      </c>
      <c r="F425" s="10">
        <v>243.87440319360005</v>
      </c>
      <c r="G425" s="12">
        <f>F425*(1-'[1]Discounts page'!D$10)</f>
        <v>134.13092175648003</v>
      </c>
      <c r="H425" s="10">
        <v>230.32582523840003</v>
      </c>
      <c r="I425" s="12">
        <f>H425*(1-'[1]Discounts page'!D$10)</f>
        <v>126.67920388112003</v>
      </c>
      <c r="J425" s="47">
        <f t="shared" si="19"/>
        <v>239</v>
      </c>
      <c r="K425" s="48">
        <f t="shared" si="18"/>
        <v>208</v>
      </c>
      <c r="L425" s="49">
        <f t="shared" si="20"/>
        <v>191</v>
      </c>
    </row>
    <row r="426" spans="1:12" ht="15.75" x14ac:dyDescent="0.25">
      <c r="A426" s="11">
        <v>6250</v>
      </c>
      <c r="B426" s="8"/>
      <c r="C426" s="9" t="s">
        <v>30</v>
      </c>
      <c r="D426" s="10">
        <v>276.68760681600003</v>
      </c>
      <c r="E426" s="12">
        <f>D426*(1-'[1]Discounts page'!D$10)</f>
        <v>152.17818374880002</v>
      </c>
      <c r="F426" s="10">
        <v>249.01884613440004</v>
      </c>
      <c r="G426" s="12">
        <f>F426*(1-'[1]Discounts page'!D$10)</f>
        <v>136.96036537392004</v>
      </c>
      <c r="H426" s="10">
        <v>235.18446579360003</v>
      </c>
      <c r="I426" s="12">
        <f>H426*(1-'[1]Discounts page'!D$10)</f>
        <v>129.35145618648002</v>
      </c>
      <c r="J426" s="47">
        <f t="shared" si="19"/>
        <v>244</v>
      </c>
      <c r="K426" s="48">
        <f t="shared" si="18"/>
        <v>213</v>
      </c>
      <c r="L426" s="49">
        <f t="shared" si="20"/>
        <v>195</v>
      </c>
    </row>
    <row r="427" spans="1:12" ht="15.75" x14ac:dyDescent="0.25">
      <c r="A427" s="11">
        <v>6400</v>
      </c>
      <c r="B427" s="8"/>
      <c r="C427" s="9" t="s">
        <v>30</v>
      </c>
      <c r="D427" s="10">
        <v>283.02160563199999</v>
      </c>
      <c r="E427" s="12">
        <f>D427*(1-'[1]Discounts page'!D$10)</f>
        <v>155.6618830976</v>
      </c>
      <c r="F427" s="10">
        <v>254.71944506879998</v>
      </c>
      <c r="G427" s="12">
        <f>F427*(1-'[1]Discounts page'!D$10)</f>
        <v>140.09569478783999</v>
      </c>
      <c r="H427" s="10">
        <v>240.56836478719998</v>
      </c>
      <c r="I427" s="12">
        <f>H427*(1-'[1]Discounts page'!D$10)</f>
        <v>132.31260063296</v>
      </c>
      <c r="J427" s="47">
        <f t="shared" si="19"/>
        <v>250</v>
      </c>
      <c r="K427" s="48">
        <f t="shared" si="18"/>
        <v>218</v>
      </c>
      <c r="L427" s="49">
        <f t="shared" si="20"/>
        <v>199</v>
      </c>
    </row>
    <row r="428" spans="1:12" ht="15.75" x14ac:dyDescent="0.25">
      <c r="A428" s="11" t="s">
        <v>14</v>
      </c>
      <c r="B428" s="8"/>
      <c r="C428" s="9" t="s">
        <v>30</v>
      </c>
      <c r="D428" s="10">
        <v>289.35560444800001</v>
      </c>
      <c r="E428" s="12">
        <f>D428*(1-'[1]Discounts page'!D$10)</f>
        <v>159.14558244640003</v>
      </c>
      <c r="F428" s="10">
        <v>260.42004400320002</v>
      </c>
      <c r="G428" s="12">
        <f>F428*(1-'[1]Discounts page'!D$10)</f>
        <v>143.23102420176002</v>
      </c>
      <c r="H428" s="10">
        <v>245.9522637808</v>
      </c>
      <c r="I428" s="12">
        <f>H428*(1-'[1]Discounts page'!D$10)</f>
        <v>135.27374507944</v>
      </c>
      <c r="J428" s="47">
        <f t="shared" si="19"/>
        <v>255</v>
      </c>
      <c r="K428" s="48">
        <f t="shared" si="18"/>
        <v>223</v>
      </c>
      <c r="L428" s="49">
        <f t="shared" si="20"/>
        <v>203</v>
      </c>
    </row>
    <row r="429" spans="1:12" ht="15.75" x14ac:dyDescent="0.25">
      <c r="A429" s="11" t="s">
        <v>15</v>
      </c>
      <c r="B429" s="8"/>
      <c r="C429" s="9" t="s">
        <v>30</v>
      </c>
      <c r="D429" s="10">
        <v>296.15306659200002</v>
      </c>
      <c r="E429" s="12">
        <f>D429*(1-'[1]Discounts page'!D$10)</f>
        <v>162.88418662560002</v>
      </c>
      <c r="F429" s="10">
        <v>266.53775993280004</v>
      </c>
      <c r="G429" s="12">
        <f>F429*(1-'[1]Discounts page'!D$10)</f>
        <v>146.59576796304003</v>
      </c>
      <c r="H429" s="10">
        <v>251.7301066032</v>
      </c>
      <c r="I429" s="12">
        <f>H429*(1-'[1]Discounts page'!D$10)</f>
        <v>138.45155863176001</v>
      </c>
      <c r="J429" s="47">
        <f t="shared" si="19"/>
        <v>261</v>
      </c>
      <c r="K429" s="48">
        <f t="shared" si="18"/>
        <v>228</v>
      </c>
      <c r="L429" s="49">
        <f t="shared" si="20"/>
        <v>208</v>
      </c>
    </row>
    <row r="430" spans="1:12" ht="15.75" x14ac:dyDescent="0.25">
      <c r="A430" s="11" t="s">
        <v>16</v>
      </c>
      <c r="B430" s="8"/>
      <c r="C430" s="9" t="s">
        <v>30</v>
      </c>
      <c r="D430" s="10">
        <v>302.48706540800003</v>
      </c>
      <c r="E430" s="12">
        <f>D430*(1-'[1]Discounts page'!D$10)</f>
        <v>166.36788597440002</v>
      </c>
      <c r="F430" s="10">
        <v>272.23835886720002</v>
      </c>
      <c r="G430" s="12">
        <f>F430*(1-'[1]Discounts page'!D$10)</f>
        <v>149.73109737696004</v>
      </c>
      <c r="H430" s="10">
        <v>257.11400559680004</v>
      </c>
      <c r="I430" s="12">
        <f>H430*(1-'[1]Discounts page'!D$10)</f>
        <v>141.41270307824004</v>
      </c>
      <c r="J430" s="47">
        <f t="shared" si="19"/>
        <v>267</v>
      </c>
      <c r="K430" s="48">
        <f t="shared" si="18"/>
        <v>233</v>
      </c>
      <c r="L430" s="49">
        <f t="shared" si="20"/>
        <v>213</v>
      </c>
    </row>
    <row r="431" spans="1:12" ht="15.75" x14ac:dyDescent="0.25">
      <c r="A431" s="11" t="s">
        <v>17</v>
      </c>
      <c r="B431" s="8"/>
      <c r="C431" s="9" t="s">
        <v>30</v>
      </c>
      <c r="D431" s="10">
        <v>308.512088672</v>
      </c>
      <c r="E431" s="12">
        <f>D431*(1-'[1]Discounts page'!D$10)</f>
        <v>169.6816487696</v>
      </c>
      <c r="F431" s="10">
        <v>277.6608798048</v>
      </c>
      <c r="G431" s="12">
        <f>F431*(1-'[1]Discounts page'!D$10)</f>
        <v>152.71348389264003</v>
      </c>
      <c r="H431" s="10">
        <v>262.23527537119998</v>
      </c>
      <c r="I431" s="12">
        <f>H431*(1-'[1]Discounts page'!D$10)</f>
        <v>144.22940145416001</v>
      </c>
      <c r="J431" s="47">
        <f t="shared" si="19"/>
        <v>272</v>
      </c>
      <c r="K431" s="48">
        <f t="shared" si="18"/>
        <v>237</v>
      </c>
      <c r="L431" s="49">
        <f t="shared" si="20"/>
        <v>217</v>
      </c>
    </row>
    <row r="432" spans="1:12" ht="15.75" x14ac:dyDescent="0.25">
      <c r="A432" s="11" t="s">
        <v>18</v>
      </c>
      <c r="B432" s="8"/>
      <c r="C432" s="9" t="s">
        <v>30</v>
      </c>
      <c r="D432" s="10">
        <v>315.15506304000007</v>
      </c>
      <c r="E432" s="12">
        <f>D432*(1-'[1]Discounts page'!D$10)</f>
        <v>173.33528467200006</v>
      </c>
      <c r="F432" s="10">
        <v>283.63955673600009</v>
      </c>
      <c r="G432" s="12">
        <f>F432*(1-'[1]Discounts page'!D$10)</f>
        <v>156.00175620480007</v>
      </c>
      <c r="H432" s="10">
        <v>267.88180358400007</v>
      </c>
      <c r="I432" s="12">
        <f>H432*(1-'[1]Discounts page'!D$10)</f>
        <v>147.33499197120005</v>
      </c>
      <c r="J432" s="47">
        <f t="shared" si="19"/>
        <v>278</v>
      </c>
      <c r="K432" s="48">
        <f t="shared" si="18"/>
        <v>242</v>
      </c>
      <c r="L432" s="49">
        <f t="shared" si="20"/>
        <v>222</v>
      </c>
    </row>
    <row r="433" spans="1:12" ht="15.75" x14ac:dyDescent="0.25">
      <c r="A433" s="11" t="s">
        <v>19</v>
      </c>
      <c r="B433" s="8"/>
      <c r="C433" s="9" t="s">
        <v>30</v>
      </c>
      <c r="D433" s="10">
        <v>321.3345740800001</v>
      </c>
      <c r="E433" s="12">
        <f>D433*(1-'[1]Discounts page'!D$10)</f>
        <v>176.73401574400006</v>
      </c>
      <c r="F433" s="10">
        <v>289.20111667200007</v>
      </c>
      <c r="G433" s="12">
        <f>F433*(1-'[1]Discounts page'!D$10)</f>
        <v>159.06061416960006</v>
      </c>
      <c r="H433" s="10">
        <v>273.13438796800006</v>
      </c>
      <c r="I433" s="12">
        <f>H433*(1-'[1]Discounts page'!D$10)</f>
        <v>150.22391338240004</v>
      </c>
      <c r="J433" s="47">
        <f t="shared" si="19"/>
        <v>283</v>
      </c>
      <c r="K433" s="48">
        <f t="shared" si="18"/>
        <v>247</v>
      </c>
      <c r="L433" s="49">
        <f t="shared" si="20"/>
        <v>226</v>
      </c>
    </row>
    <row r="434" spans="1:12" ht="15.75" x14ac:dyDescent="0.25">
      <c r="A434" s="11" t="s">
        <v>20</v>
      </c>
      <c r="B434" s="8"/>
      <c r="C434" s="9" t="s">
        <v>30</v>
      </c>
      <c r="D434" s="10">
        <v>327.823060672</v>
      </c>
      <c r="E434" s="12">
        <f>D434*(1-'[1]Discounts page'!D$10)</f>
        <v>180.3026833696</v>
      </c>
      <c r="F434" s="10">
        <v>295.04075460479999</v>
      </c>
      <c r="G434" s="12">
        <f>F434*(1-'[1]Discounts page'!D$10)</f>
        <v>162.27241503264</v>
      </c>
      <c r="H434" s="10">
        <v>278.64960157119998</v>
      </c>
      <c r="I434" s="12">
        <f>H434*(1-'[1]Discounts page'!D$10)</f>
        <v>153.25728086416001</v>
      </c>
      <c r="J434" s="47">
        <f t="shared" si="19"/>
        <v>289</v>
      </c>
      <c r="K434" s="48">
        <f t="shared" si="18"/>
        <v>252</v>
      </c>
      <c r="L434" s="49">
        <f t="shared" si="20"/>
        <v>230</v>
      </c>
    </row>
    <row r="435" spans="1:12" ht="15.75" x14ac:dyDescent="0.25">
      <c r="A435" s="11" t="s">
        <v>21</v>
      </c>
      <c r="B435" s="8"/>
      <c r="C435" s="9" t="s">
        <v>30</v>
      </c>
      <c r="D435" s="10">
        <v>334.00257171200002</v>
      </c>
      <c r="E435" s="12">
        <f>D435*(1-'[1]Discounts page'!D$10)</f>
        <v>183.70141444160004</v>
      </c>
      <c r="F435" s="10">
        <v>300.60231454080002</v>
      </c>
      <c r="G435" s="12">
        <f>F435*(1-'[1]Discounts page'!D$10)</f>
        <v>165.33127299744004</v>
      </c>
      <c r="H435" s="10">
        <v>283.90218595520003</v>
      </c>
      <c r="I435" s="12">
        <f>H435*(1-'[1]Discounts page'!D$10)</f>
        <v>156.14620227536003</v>
      </c>
      <c r="J435" s="47">
        <f t="shared" si="19"/>
        <v>294</v>
      </c>
      <c r="K435" s="48">
        <f t="shared" si="18"/>
        <v>257</v>
      </c>
      <c r="L435" s="49">
        <f t="shared" si="20"/>
        <v>235</v>
      </c>
    </row>
    <row r="436" spans="1:12" ht="15.75" x14ac:dyDescent="0.25">
      <c r="A436" s="11" t="s">
        <v>22</v>
      </c>
      <c r="B436" s="8"/>
      <c r="C436" s="9" t="s">
        <v>30</v>
      </c>
      <c r="D436" s="10">
        <v>340.49105830400003</v>
      </c>
      <c r="E436" s="12">
        <f>D436*(1-'[1]Discounts page'!D$10)</f>
        <v>187.27008206720004</v>
      </c>
      <c r="F436" s="10">
        <v>306.44195247360005</v>
      </c>
      <c r="G436" s="12">
        <f>F436*(1-'[1]Discounts page'!D$10)</f>
        <v>168.54307386048004</v>
      </c>
      <c r="H436" s="10">
        <v>289.41739955840001</v>
      </c>
      <c r="I436" s="12">
        <f>H436*(1-'[1]Discounts page'!D$10)</f>
        <v>159.17956975712002</v>
      </c>
      <c r="J436" s="47">
        <f t="shared" si="19"/>
        <v>300</v>
      </c>
      <c r="K436" s="48">
        <f t="shared" si="18"/>
        <v>262</v>
      </c>
      <c r="L436" s="49">
        <f t="shared" si="20"/>
        <v>239</v>
      </c>
    </row>
    <row r="437" spans="1:12" ht="15.75" x14ac:dyDescent="0.25">
      <c r="A437" s="11" t="s">
        <v>23</v>
      </c>
      <c r="B437" s="8"/>
      <c r="C437" s="9" t="s">
        <v>30</v>
      </c>
      <c r="D437" s="10">
        <v>346.97954489600005</v>
      </c>
      <c r="E437" s="12">
        <f>D437*(1-'[1]Discounts page'!D$10)</f>
        <v>190.83874969280004</v>
      </c>
      <c r="F437" s="10">
        <v>312.28159040640003</v>
      </c>
      <c r="G437" s="12">
        <f>F437*(1-'[1]Discounts page'!D$10)</f>
        <v>171.75487472352003</v>
      </c>
      <c r="H437" s="10">
        <v>294.93261316160005</v>
      </c>
      <c r="I437" s="12">
        <f>H437*(1-'[1]Discounts page'!D$10)</f>
        <v>162.21293723888004</v>
      </c>
      <c r="J437" s="47">
        <f t="shared" si="19"/>
        <v>306</v>
      </c>
      <c r="K437" s="48">
        <f t="shared" si="18"/>
        <v>267</v>
      </c>
      <c r="L437" s="49">
        <f t="shared" si="20"/>
        <v>244</v>
      </c>
    </row>
    <row r="438" spans="1:12" ht="15.75" x14ac:dyDescent="0.25">
      <c r="A438" s="11" t="s">
        <v>24</v>
      </c>
      <c r="B438" s="8"/>
      <c r="C438" s="9" t="s">
        <v>30</v>
      </c>
      <c r="D438" s="10">
        <v>353.31354371200007</v>
      </c>
      <c r="E438" s="12">
        <f>D438*(1-'[1]Discounts page'!D$10)</f>
        <v>194.32244904160007</v>
      </c>
      <c r="F438" s="10">
        <v>317.98218934080006</v>
      </c>
      <c r="G438" s="12">
        <f>F438*(1-'[1]Discounts page'!D$10)</f>
        <v>174.89020413744004</v>
      </c>
      <c r="H438" s="10">
        <v>300.31651215520003</v>
      </c>
      <c r="I438" s="12">
        <f>H438*(1-'[1]Discounts page'!D$10)</f>
        <v>165.17408168536002</v>
      </c>
      <c r="J438" s="47">
        <f t="shared" si="19"/>
        <v>311</v>
      </c>
      <c r="K438" s="48">
        <f t="shared" si="18"/>
        <v>272</v>
      </c>
      <c r="L438" s="49">
        <f t="shared" si="20"/>
        <v>248</v>
      </c>
    </row>
    <row r="439" spans="1:12" ht="15.75" x14ac:dyDescent="0.25">
      <c r="A439" s="13"/>
      <c r="B439" s="4"/>
      <c r="C439" s="5"/>
      <c r="D439" s="14"/>
      <c r="E439" s="15"/>
      <c r="F439" s="14"/>
      <c r="G439" s="15"/>
      <c r="H439" s="14"/>
      <c r="I439" s="15"/>
      <c r="J439" s="47">
        <f t="shared" si="19"/>
        <v>0</v>
      </c>
      <c r="K439" s="48">
        <f t="shared" si="18"/>
        <v>0</v>
      </c>
      <c r="L439" s="49">
        <f t="shared" si="20"/>
        <v>0</v>
      </c>
    </row>
    <row r="440" spans="1:12" ht="18" x14ac:dyDescent="0.25">
      <c r="A440" s="3" t="s">
        <v>39</v>
      </c>
      <c r="B440" s="4"/>
      <c r="C440" s="5"/>
      <c r="D440" s="14"/>
      <c r="E440" s="15"/>
      <c r="F440" s="14"/>
      <c r="G440" s="15"/>
      <c r="H440" s="14"/>
      <c r="I440" s="15"/>
      <c r="J440" s="47">
        <f t="shared" si="19"/>
        <v>0</v>
      </c>
      <c r="K440" s="48">
        <f t="shared" si="18"/>
        <v>0</v>
      </c>
      <c r="L440" s="49">
        <f t="shared" si="20"/>
        <v>0</v>
      </c>
    </row>
    <row r="441" spans="1:12" ht="15.75" x14ac:dyDescent="0.25">
      <c r="A441" s="7" t="s">
        <v>40</v>
      </c>
      <c r="B441" s="8"/>
      <c r="C441" s="9"/>
      <c r="D441" s="10"/>
      <c r="E441" s="12"/>
      <c r="F441" s="10"/>
      <c r="G441" s="12"/>
      <c r="H441" s="10"/>
      <c r="I441" s="12"/>
      <c r="J441" s="47">
        <f t="shared" si="19"/>
        <v>0</v>
      </c>
      <c r="K441" s="48">
        <f t="shared" si="18"/>
        <v>0</v>
      </c>
      <c r="L441" s="49">
        <f t="shared" si="20"/>
        <v>0</v>
      </c>
    </row>
    <row r="442" spans="1:12" ht="15.75" x14ac:dyDescent="0.25">
      <c r="A442" s="11">
        <v>1525</v>
      </c>
      <c r="B442" s="8" t="s">
        <v>10</v>
      </c>
      <c r="C442" s="9" t="s">
        <v>41</v>
      </c>
      <c r="D442" s="10">
        <v>35.143020800000002</v>
      </c>
      <c r="E442" s="12">
        <f>D442*(1-'[1]Discounts page'!D$11)</f>
        <v>24.600114560000002</v>
      </c>
      <c r="F442" s="10">
        <v>31.628718720000002</v>
      </c>
      <c r="G442" s="12">
        <f>F442*(1-'[1]Discounts page'!D$11)</f>
        <v>22.140103104000001</v>
      </c>
      <c r="H442" s="10">
        <v>29.871567680000002</v>
      </c>
      <c r="I442" s="12">
        <f>H442*(1-'[1]Discounts page'!D$11)</f>
        <v>20.910097376</v>
      </c>
      <c r="J442" s="47">
        <f t="shared" si="19"/>
        <v>40</v>
      </c>
      <c r="K442" s="48">
        <f t="shared" si="18"/>
        <v>35</v>
      </c>
      <c r="L442" s="49">
        <f t="shared" si="20"/>
        <v>32</v>
      </c>
    </row>
    <row r="443" spans="1:12" ht="15.75" x14ac:dyDescent="0.25">
      <c r="A443" s="11">
        <v>1680</v>
      </c>
      <c r="B443" s="8"/>
      <c r="C443" s="9" t="s">
        <v>41</v>
      </c>
      <c r="D443" s="10">
        <v>35.143020800000002</v>
      </c>
      <c r="E443" s="12">
        <f>D443*(1-'[1]Discounts page'!D$11)</f>
        <v>24.600114560000002</v>
      </c>
      <c r="F443" s="10">
        <v>31.628718720000002</v>
      </c>
      <c r="G443" s="12">
        <f>F443*(1-'[1]Discounts page'!D$11)</f>
        <v>22.140103104000001</v>
      </c>
      <c r="H443" s="10">
        <v>29.871567680000002</v>
      </c>
      <c r="I443" s="12">
        <f>H443*(1-'[1]Discounts page'!D$11)</f>
        <v>20.910097376</v>
      </c>
      <c r="J443" s="47">
        <f t="shared" si="19"/>
        <v>40</v>
      </c>
      <c r="K443" s="48">
        <f t="shared" si="18"/>
        <v>35</v>
      </c>
      <c r="L443" s="49">
        <f t="shared" si="20"/>
        <v>32</v>
      </c>
    </row>
    <row r="444" spans="1:12" ht="15.75" x14ac:dyDescent="0.25">
      <c r="A444" s="11">
        <v>1830</v>
      </c>
      <c r="B444" s="8"/>
      <c r="C444" s="9" t="s">
        <v>41</v>
      </c>
      <c r="D444" s="10">
        <v>35.143020800000002</v>
      </c>
      <c r="E444" s="12">
        <f>D444*(1-'[1]Discounts page'!D$11)</f>
        <v>24.600114560000002</v>
      </c>
      <c r="F444" s="10">
        <v>31.628718720000002</v>
      </c>
      <c r="G444" s="12">
        <f>F444*(1-'[1]Discounts page'!D$11)</f>
        <v>22.140103104000001</v>
      </c>
      <c r="H444" s="10">
        <v>29.871567680000002</v>
      </c>
      <c r="I444" s="12">
        <f>H444*(1-'[1]Discounts page'!D$11)</f>
        <v>20.910097376</v>
      </c>
      <c r="J444" s="47">
        <f t="shared" si="19"/>
        <v>40</v>
      </c>
      <c r="K444" s="48">
        <f t="shared" si="18"/>
        <v>35</v>
      </c>
      <c r="L444" s="49">
        <f t="shared" si="20"/>
        <v>32</v>
      </c>
    </row>
    <row r="445" spans="1:12" ht="15.75" x14ac:dyDescent="0.25">
      <c r="A445" s="11">
        <v>1985</v>
      </c>
      <c r="B445" s="8"/>
      <c r="C445" s="9" t="s">
        <v>41</v>
      </c>
      <c r="D445" s="10">
        <v>35.143020800000002</v>
      </c>
      <c r="E445" s="12">
        <f>D445*(1-'[1]Discounts page'!D$11)</f>
        <v>24.600114560000002</v>
      </c>
      <c r="F445" s="10">
        <v>31.628718720000002</v>
      </c>
      <c r="G445" s="12">
        <f>F445*(1-'[1]Discounts page'!D$11)</f>
        <v>22.140103104000001</v>
      </c>
      <c r="H445" s="10">
        <v>29.871567680000002</v>
      </c>
      <c r="I445" s="12">
        <f>H445*(1-'[1]Discounts page'!D$11)</f>
        <v>20.910097376</v>
      </c>
      <c r="J445" s="47">
        <f t="shared" si="19"/>
        <v>40</v>
      </c>
      <c r="K445" s="48">
        <f t="shared" si="18"/>
        <v>35</v>
      </c>
      <c r="L445" s="49">
        <f t="shared" si="20"/>
        <v>32</v>
      </c>
    </row>
    <row r="446" spans="1:12" ht="15.75" x14ac:dyDescent="0.25">
      <c r="A446" s="11">
        <v>2135</v>
      </c>
      <c r="B446" s="8"/>
      <c r="C446" s="9" t="s">
        <v>41</v>
      </c>
      <c r="D446" s="10">
        <v>35.143020800000002</v>
      </c>
      <c r="E446" s="12">
        <f>D446*(1-'[1]Discounts page'!D$11)</f>
        <v>24.600114560000002</v>
      </c>
      <c r="F446" s="10">
        <v>31.628718720000002</v>
      </c>
      <c r="G446" s="12">
        <f>F446*(1-'[1]Discounts page'!D$11)</f>
        <v>22.140103104000001</v>
      </c>
      <c r="H446" s="10">
        <v>29.871567680000002</v>
      </c>
      <c r="I446" s="12">
        <f>H446*(1-'[1]Discounts page'!D$11)</f>
        <v>20.910097376</v>
      </c>
      <c r="J446" s="47">
        <f t="shared" si="19"/>
        <v>40</v>
      </c>
      <c r="K446" s="48">
        <f t="shared" si="18"/>
        <v>35</v>
      </c>
      <c r="L446" s="49">
        <f t="shared" si="20"/>
        <v>32</v>
      </c>
    </row>
    <row r="447" spans="1:12" ht="15.75" x14ac:dyDescent="0.25">
      <c r="A447" s="11">
        <v>2290</v>
      </c>
      <c r="B447" s="8"/>
      <c r="C447" s="9" t="s">
        <v>41</v>
      </c>
      <c r="D447" s="10">
        <v>35.143020800000002</v>
      </c>
      <c r="E447" s="12">
        <f>D447*(1-'[1]Discounts page'!D$11)</f>
        <v>24.600114560000002</v>
      </c>
      <c r="F447" s="10">
        <v>31.628718720000002</v>
      </c>
      <c r="G447" s="12">
        <f>F447*(1-'[1]Discounts page'!D$11)</f>
        <v>22.140103104000001</v>
      </c>
      <c r="H447" s="10">
        <v>29.871567680000002</v>
      </c>
      <c r="I447" s="12">
        <f>H447*(1-'[1]Discounts page'!D$11)</f>
        <v>20.910097376</v>
      </c>
      <c r="J447" s="47">
        <f t="shared" si="19"/>
        <v>40</v>
      </c>
      <c r="K447" s="48">
        <f t="shared" si="18"/>
        <v>35</v>
      </c>
      <c r="L447" s="49">
        <f t="shared" si="20"/>
        <v>32</v>
      </c>
    </row>
    <row r="448" spans="1:12" ht="15.75" x14ac:dyDescent="0.25">
      <c r="A448" s="11">
        <v>2440</v>
      </c>
      <c r="B448" s="8"/>
      <c r="C448" s="9" t="s">
        <v>41</v>
      </c>
      <c r="D448" s="10">
        <v>35.143020800000002</v>
      </c>
      <c r="E448" s="12">
        <f>D448*(1-'[1]Discounts page'!D$11)</f>
        <v>24.600114560000002</v>
      </c>
      <c r="F448" s="10">
        <v>31.628718720000002</v>
      </c>
      <c r="G448" s="12">
        <f>F448*(1-'[1]Discounts page'!D$11)</f>
        <v>22.140103104000001</v>
      </c>
      <c r="H448" s="10">
        <v>29.871567680000002</v>
      </c>
      <c r="I448" s="12">
        <f>H448*(1-'[1]Discounts page'!D$11)</f>
        <v>20.910097376</v>
      </c>
      <c r="J448" s="47">
        <f t="shared" si="19"/>
        <v>40</v>
      </c>
      <c r="K448" s="48">
        <f t="shared" si="18"/>
        <v>35</v>
      </c>
      <c r="L448" s="49">
        <f t="shared" si="20"/>
        <v>32</v>
      </c>
    </row>
    <row r="449" spans="1:12" ht="15.75" x14ac:dyDescent="0.25">
      <c r="A449" s="11">
        <v>2590</v>
      </c>
      <c r="B449" s="8"/>
      <c r="C449" s="9" t="s">
        <v>41</v>
      </c>
      <c r="D449" s="10">
        <v>35.143020800000002</v>
      </c>
      <c r="E449" s="12">
        <f>D449*(1-'[1]Discounts page'!D$11)</f>
        <v>24.600114560000002</v>
      </c>
      <c r="F449" s="10">
        <v>31.628718720000002</v>
      </c>
      <c r="G449" s="12">
        <f>F449*(1-'[1]Discounts page'!D$11)</f>
        <v>22.140103104000001</v>
      </c>
      <c r="H449" s="10">
        <v>29.871567680000002</v>
      </c>
      <c r="I449" s="12">
        <f>H449*(1-'[1]Discounts page'!D$11)</f>
        <v>20.910097376</v>
      </c>
      <c r="J449" s="47">
        <f t="shared" si="19"/>
        <v>40</v>
      </c>
      <c r="K449" s="48">
        <f t="shared" si="18"/>
        <v>35</v>
      </c>
      <c r="L449" s="49">
        <f t="shared" si="20"/>
        <v>32</v>
      </c>
    </row>
    <row r="450" spans="1:12" ht="15.75" x14ac:dyDescent="0.25">
      <c r="A450" s="11">
        <v>2745</v>
      </c>
      <c r="B450" s="8"/>
      <c r="C450" s="9" t="s">
        <v>41</v>
      </c>
      <c r="D450" s="10">
        <v>36.70493283555556</v>
      </c>
      <c r="E450" s="12">
        <f>D450*(1-'[1]Discounts page'!D$11)</f>
        <v>25.693452984888889</v>
      </c>
      <c r="F450" s="10">
        <v>33.034439552000002</v>
      </c>
      <c r="G450" s="12">
        <f>F450*(1-'[1]Discounts page'!D$11)</f>
        <v>23.124107686399999</v>
      </c>
      <c r="H450" s="10">
        <v>31.199192910222227</v>
      </c>
      <c r="I450" s="12">
        <f>H450*(1-'[1]Discounts page'!D$11)</f>
        <v>21.839435037155557</v>
      </c>
      <c r="J450" s="47">
        <f t="shared" si="19"/>
        <v>42</v>
      </c>
      <c r="K450" s="48">
        <f t="shared" si="18"/>
        <v>36</v>
      </c>
      <c r="L450" s="49">
        <f t="shared" si="20"/>
        <v>33</v>
      </c>
    </row>
    <row r="451" spans="1:12" ht="15.75" x14ac:dyDescent="0.25">
      <c r="A451" s="11">
        <v>2895</v>
      </c>
      <c r="B451" s="8"/>
      <c r="C451" s="9" t="s">
        <v>41</v>
      </c>
      <c r="D451" s="10">
        <v>38.735418481777785</v>
      </c>
      <c r="E451" s="12">
        <f>D451*(1-'[1]Discounts page'!D$11)</f>
        <v>27.114792937244449</v>
      </c>
      <c r="F451" s="10">
        <v>34.861876633600005</v>
      </c>
      <c r="G451" s="12">
        <f>F451*(1-'[1]Discounts page'!D$11)</f>
        <v>24.403313643520001</v>
      </c>
      <c r="H451" s="10">
        <v>32.925105709511115</v>
      </c>
      <c r="I451" s="12">
        <f>H451*(1-'[1]Discounts page'!D$11)</f>
        <v>23.047573996657778</v>
      </c>
      <c r="J451" s="47">
        <f t="shared" si="19"/>
        <v>44</v>
      </c>
      <c r="K451" s="48">
        <f t="shared" si="18"/>
        <v>38</v>
      </c>
      <c r="L451" s="49">
        <f t="shared" si="20"/>
        <v>35</v>
      </c>
    </row>
    <row r="452" spans="1:12" ht="15.75" x14ac:dyDescent="0.25">
      <c r="A452" s="11">
        <v>3050</v>
      </c>
      <c r="B452" s="8"/>
      <c r="C452" s="9" t="s">
        <v>41</v>
      </c>
      <c r="D452" s="10">
        <v>40.297330517333343</v>
      </c>
      <c r="E452" s="12">
        <f>D452*(1-'[1]Discounts page'!D$11)</f>
        <v>28.208131362133336</v>
      </c>
      <c r="F452" s="10">
        <v>36.267597465600012</v>
      </c>
      <c r="G452" s="12">
        <f>F452*(1-'[1]Discounts page'!D$11)</f>
        <v>25.387318225920009</v>
      </c>
      <c r="H452" s="10">
        <v>34.25273093973334</v>
      </c>
      <c r="I452" s="12">
        <f>H452*(1-'[1]Discounts page'!D$11)</f>
        <v>23.976911657813336</v>
      </c>
      <c r="J452" s="47">
        <f t="shared" si="19"/>
        <v>46</v>
      </c>
      <c r="K452" s="48">
        <f t="shared" si="18"/>
        <v>40</v>
      </c>
      <c r="L452" s="49">
        <f t="shared" si="20"/>
        <v>36</v>
      </c>
    </row>
    <row r="453" spans="1:12" ht="15.75" x14ac:dyDescent="0.25">
      <c r="A453" s="11">
        <v>3200</v>
      </c>
      <c r="B453" s="8"/>
      <c r="C453" s="9" t="s">
        <v>41</v>
      </c>
      <c r="D453" s="10">
        <v>41.703051349333343</v>
      </c>
      <c r="E453" s="12">
        <f>D453*(1-'[1]Discounts page'!D$11)</f>
        <v>29.192135944533337</v>
      </c>
      <c r="F453" s="10">
        <v>37.532746214400007</v>
      </c>
      <c r="G453" s="12">
        <f>F453*(1-'[1]Discounts page'!D$11)</f>
        <v>26.272922350080002</v>
      </c>
      <c r="H453" s="10">
        <v>35.447593646933342</v>
      </c>
      <c r="I453" s="12">
        <f>H453*(1-'[1]Discounts page'!D$11)</f>
        <v>24.813315552853339</v>
      </c>
      <c r="J453" s="47">
        <f t="shared" si="19"/>
        <v>47</v>
      </c>
      <c r="K453" s="48">
        <f t="shared" si="18"/>
        <v>41</v>
      </c>
      <c r="L453" s="49">
        <f t="shared" si="20"/>
        <v>38</v>
      </c>
    </row>
    <row r="454" spans="1:12" ht="15.75" x14ac:dyDescent="0.25">
      <c r="A454" s="11">
        <v>3355</v>
      </c>
      <c r="B454" s="8"/>
      <c r="C454" s="9" t="s">
        <v>41</v>
      </c>
      <c r="D454" s="10">
        <v>43.108772181333343</v>
      </c>
      <c r="E454" s="12">
        <f>D454*(1-'[1]Discounts page'!D$11)</f>
        <v>30.176140526933338</v>
      </c>
      <c r="F454" s="10">
        <v>38.797894963200008</v>
      </c>
      <c r="G454" s="12">
        <f>F454*(1-'[1]Discounts page'!D$11)</f>
        <v>27.158526474240006</v>
      </c>
      <c r="H454" s="10">
        <v>36.642456354133344</v>
      </c>
      <c r="I454" s="12">
        <f>H454*(1-'[1]Discounts page'!D$11)</f>
        <v>25.649719447893339</v>
      </c>
      <c r="J454" s="47">
        <f t="shared" si="19"/>
        <v>49</v>
      </c>
      <c r="K454" s="48">
        <f t="shared" si="18"/>
        <v>43</v>
      </c>
      <c r="L454" s="49">
        <f t="shared" si="20"/>
        <v>39</v>
      </c>
    </row>
    <row r="455" spans="1:12" ht="15.75" x14ac:dyDescent="0.25">
      <c r="A455" s="11">
        <v>3510</v>
      </c>
      <c r="B455" s="8"/>
      <c r="C455" s="9" t="s">
        <v>41</v>
      </c>
      <c r="D455" s="10">
        <v>45.139257827555561</v>
      </c>
      <c r="E455" s="12">
        <f>D455*(1-'[1]Discounts page'!D$11)</f>
        <v>31.59748047928889</v>
      </c>
      <c r="F455" s="10">
        <v>40.625332044800004</v>
      </c>
      <c r="G455" s="12">
        <f>F455*(1-'[1]Discounts page'!D$11)</f>
        <v>28.437732431360001</v>
      </c>
      <c r="H455" s="10">
        <v>38.368369153422229</v>
      </c>
      <c r="I455" s="12">
        <f>H455*(1-'[1]Discounts page'!D$11)</f>
        <v>26.857858407395558</v>
      </c>
      <c r="J455" s="47">
        <f t="shared" si="19"/>
        <v>51</v>
      </c>
      <c r="K455" s="48">
        <f t="shared" si="18"/>
        <v>45</v>
      </c>
      <c r="L455" s="49">
        <f t="shared" si="20"/>
        <v>41</v>
      </c>
    </row>
    <row r="456" spans="1:12" ht="15.75" x14ac:dyDescent="0.25">
      <c r="A456" s="11">
        <v>3660</v>
      </c>
      <c r="B456" s="8"/>
      <c r="C456" s="9" t="s">
        <v>41</v>
      </c>
      <c r="D456" s="10">
        <v>46.232596252444445</v>
      </c>
      <c r="E456" s="12">
        <f>D456*(1-'[1]Discounts page'!D$11)</f>
        <v>32.362817376711106</v>
      </c>
      <c r="F456" s="10">
        <v>41.609336627200001</v>
      </c>
      <c r="G456" s="12">
        <f>F456*(1-'[1]Discounts page'!D$11)</f>
        <v>29.12653563904</v>
      </c>
      <c r="H456" s="10">
        <v>39.297706814577779</v>
      </c>
      <c r="I456" s="12">
        <f>H456*(1-'[1]Discounts page'!D$11)</f>
        <v>27.508394770204443</v>
      </c>
      <c r="J456" s="47">
        <f t="shared" si="19"/>
        <v>52</v>
      </c>
      <c r="K456" s="48">
        <f t="shared" si="18"/>
        <v>46</v>
      </c>
      <c r="L456" s="49">
        <f t="shared" si="20"/>
        <v>42</v>
      </c>
    </row>
    <row r="457" spans="1:12" ht="15.75" x14ac:dyDescent="0.25">
      <c r="A457" s="11">
        <v>3810</v>
      </c>
      <c r="B457" s="8"/>
      <c r="C457" s="9" t="s">
        <v>41</v>
      </c>
      <c r="D457" s="10">
        <v>47.794508288000003</v>
      </c>
      <c r="E457" s="12">
        <f>D457*(1-'[1]Discounts page'!D$11)</f>
        <v>33.456155801599998</v>
      </c>
      <c r="F457" s="10">
        <v>43.015057459200001</v>
      </c>
      <c r="G457" s="12">
        <f>F457*(1-'[1]Discounts page'!D$11)</f>
        <v>30.110540221439997</v>
      </c>
      <c r="H457" s="10">
        <v>40.625332044800004</v>
      </c>
      <c r="I457" s="12">
        <f>H457*(1-'[1]Discounts page'!D$11)</f>
        <v>28.437732431360001</v>
      </c>
      <c r="J457" s="47">
        <f t="shared" si="19"/>
        <v>54</v>
      </c>
      <c r="K457" s="48">
        <f t="shared" ref="K457:K499" si="21">ROUNDUP(G457*1.55,0)</f>
        <v>47</v>
      </c>
      <c r="L457" s="49">
        <f t="shared" si="20"/>
        <v>43</v>
      </c>
    </row>
    <row r="458" spans="1:12" ht="15.75" x14ac:dyDescent="0.25">
      <c r="A458" s="11">
        <v>3965</v>
      </c>
      <c r="B458" s="8"/>
      <c r="C458" s="9" t="s">
        <v>41</v>
      </c>
      <c r="D458" s="10">
        <v>49.824993934222228</v>
      </c>
      <c r="E458" s="12">
        <f>D458*(1-'[1]Discounts page'!D$11)</f>
        <v>34.877495753955557</v>
      </c>
      <c r="F458" s="10">
        <v>44.842494540800004</v>
      </c>
      <c r="G458" s="12">
        <f>F458*(1-'[1]Discounts page'!D$11)</f>
        <v>31.389746178559999</v>
      </c>
      <c r="H458" s="10">
        <v>42.351244844088889</v>
      </c>
      <c r="I458" s="12">
        <f>H458*(1-'[1]Discounts page'!D$11)</f>
        <v>29.645871390862219</v>
      </c>
      <c r="J458" s="47">
        <f t="shared" ref="J458:J500" si="22">ROUNDUP(E458*1.6,0)</f>
        <v>56</v>
      </c>
      <c r="K458" s="48">
        <f t="shared" si="21"/>
        <v>49</v>
      </c>
      <c r="L458" s="49">
        <f t="shared" ref="L458:L500" si="23">ROUNDUP(I458*1.5,0)</f>
        <v>45</v>
      </c>
    </row>
    <row r="459" spans="1:12" ht="15.75" x14ac:dyDescent="0.25">
      <c r="A459" s="11">
        <v>4115</v>
      </c>
      <c r="B459" s="8"/>
      <c r="C459" s="9" t="s">
        <v>41</v>
      </c>
      <c r="D459" s="10">
        <v>50.918332359111119</v>
      </c>
      <c r="E459" s="12">
        <f>D459*(1-'[1]Discounts page'!D$11)</f>
        <v>35.64283265137778</v>
      </c>
      <c r="F459" s="10">
        <v>45.826499123200009</v>
      </c>
      <c r="G459" s="12">
        <f>F459*(1-'[1]Discounts page'!D$11)</f>
        <v>32.078549386240006</v>
      </c>
      <c r="H459" s="10">
        <v>43.280582505244453</v>
      </c>
      <c r="I459" s="12">
        <f>H459*(1-'[1]Discounts page'!D$11)</f>
        <v>30.296407753671115</v>
      </c>
      <c r="J459" s="47">
        <f t="shared" si="22"/>
        <v>58</v>
      </c>
      <c r="K459" s="48">
        <f t="shared" si="21"/>
        <v>50</v>
      </c>
      <c r="L459" s="49">
        <f t="shared" si="23"/>
        <v>46</v>
      </c>
    </row>
    <row r="460" spans="1:12" ht="15.75" x14ac:dyDescent="0.25">
      <c r="A460" s="11">
        <v>4270</v>
      </c>
      <c r="B460" s="8"/>
      <c r="C460" s="9" t="s">
        <v>41</v>
      </c>
      <c r="D460" s="10">
        <v>52.636435598222228</v>
      </c>
      <c r="E460" s="12">
        <f>D460*(1-'[1]Discounts page'!D$11)</f>
        <v>36.845504918755559</v>
      </c>
      <c r="F460" s="10">
        <v>47.372792038400007</v>
      </c>
      <c r="G460" s="12">
        <f>F460*(1-'[1]Discounts page'!D$11)</f>
        <v>33.160954426880004</v>
      </c>
      <c r="H460" s="10">
        <v>44.740970258488893</v>
      </c>
      <c r="I460" s="12">
        <f>H460*(1-'[1]Discounts page'!D$11)</f>
        <v>31.318679180942222</v>
      </c>
      <c r="J460" s="47">
        <f t="shared" si="22"/>
        <v>59</v>
      </c>
      <c r="K460" s="48">
        <f t="shared" si="21"/>
        <v>52</v>
      </c>
      <c r="L460" s="49">
        <f t="shared" si="23"/>
        <v>47</v>
      </c>
    </row>
    <row r="461" spans="1:12" ht="15.75" x14ac:dyDescent="0.25">
      <c r="A461" s="7" t="s">
        <v>42</v>
      </c>
      <c r="B461" s="8"/>
      <c r="C461" s="9"/>
      <c r="D461" s="10"/>
      <c r="E461" s="12"/>
      <c r="F461" s="10"/>
      <c r="G461" s="12"/>
      <c r="H461" s="10"/>
      <c r="I461" s="12"/>
      <c r="J461" s="47">
        <f t="shared" si="22"/>
        <v>0</v>
      </c>
      <c r="K461" s="48">
        <f t="shared" si="21"/>
        <v>0</v>
      </c>
      <c r="L461" s="49">
        <f t="shared" si="23"/>
        <v>0</v>
      </c>
    </row>
    <row r="462" spans="1:12" ht="15.75" x14ac:dyDescent="0.25">
      <c r="A462" s="11">
        <v>1525</v>
      </c>
      <c r="B462" s="8"/>
      <c r="C462" s="9" t="s">
        <v>41</v>
      </c>
      <c r="D462" s="10">
        <v>38.11065366755556</v>
      </c>
      <c r="E462" s="12">
        <f>D462*(1-'[1]Discounts page'!D$11)</f>
        <v>26.67745756728889</v>
      </c>
      <c r="F462" s="10">
        <v>34.299588300800004</v>
      </c>
      <c r="G462" s="12">
        <f>F462*(1-'[1]Discounts page'!D$11)</f>
        <v>24.009711810560002</v>
      </c>
      <c r="H462" s="10">
        <v>32.394055617422225</v>
      </c>
      <c r="I462" s="12">
        <f>H462*(1-'[1]Discounts page'!D$11)</f>
        <v>22.675838932195557</v>
      </c>
      <c r="J462" s="47">
        <f t="shared" si="22"/>
        <v>43</v>
      </c>
      <c r="K462" s="48">
        <f t="shared" si="21"/>
        <v>38</v>
      </c>
      <c r="L462" s="49">
        <f t="shared" si="23"/>
        <v>35</v>
      </c>
    </row>
    <row r="463" spans="1:12" ht="15.75" x14ac:dyDescent="0.25">
      <c r="A463" s="11">
        <v>1680</v>
      </c>
      <c r="B463" s="8"/>
      <c r="C463" s="9" t="s">
        <v>41</v>
      </c>
      <c r="D463" s="10">
        <v>38.11065366755556</v>
      </c>
      <c r="E463" s="12">
        <f>D463*(1-'[1]Discounts page'!D$11)</f>
        <v>26.67745756728889</v>
      </c>
      <c r="F463" s="10">
        <v>34.299588300800004</v>
      </c>
      <c r="G463" s="12">
        <f>F463*(1-'[1]Discounts page'!D$11)</f>
        <v>24.009711810560002</v>
      </c>
      <c r="H463" s="10">
        <v>32.394055617422225</v>
      </c>
      <c r="I463" s="12">
        <f>H463*(1-'[1]Discounts page'!D$11)</f>
        <v>22.675838932195557</v>
      </c>
      <c r="J463" s="47">
        <f t="shared" si="22"/>
        <v>43</v>
      </c>
      <c r="K463" s="48">
        <f t="shared" si="21"/>
        <v>38</v>
      </c>
      <c r="L463" s="49">
        <f t="shared" si="23"/>
        <v>35</v>
      </c>
    </row>
    <row r="464" spans="1:12" ht="15.75" x14ac:dyDescent="0.25">
      <c r="A464" s="11">
        <v>1830</v>
      </c>
      <c r="B464" s="8"/>
      <c r="C464" s="9" t="s">
        <v>41</v>
      </c>
      <c r="D464" s="10">
        <v>38.11065366755556</v>
      </c>
      <c r="E464" s="12">
        <f>D464*(1-'[1]Discounts page'!D$11)</f>
        <v>26.67745756728889</v>
      </c>
      <c r="F464" s="10">
        <v>34.299588300800004</v>
      </c>
      <c r="G464" s="12">
        <f>F464*(1-'[1]Discounts page'!D$11)</f>
        <v>24.009711810560002</v>
      </c>
      <c r="H464" s="10">
        <v>32.394055617422225</v>
      </c>
      <c r="I464" s="12">
        <f>H464*(1-'[1]Discounts page'!D$11)</f>
        <v>22.675838932195557</v>
      </c>
      <c r="J464" s="47">
        <f t="shared" si="22"/>
        <v>43</v>
      </c>
      <c r="K464" s="48">
        <f t="shared" si="21"/>
        <v>38</v>
      </c>
      <c r="L464" s="49">
        <f t="shared" si="23"/>
        <v>35</v>
      </c>
    </row>
    <row r="465" spans="1:12" ht="15.75" x14ac:dyDescent="0.25">
      <c r="A465" s="11">
        <v>1985</v>
      </c>
      <c r="B465" s="8"/>
      <c r="C465" s="9" t="s">
        <v>41</v>
      </c>
      <c r="D465" s="10">
        <v>38.11065366755556</v>
      </c>
      <c r="E465" s="12">
        <f>D465*(1-'[1]Discounts page'!D$11)</f>
        <v>26.67745756728889</v>
      </c>
      <c r="F465" s="10">
        <v>34.299588300800004</v>
      </c>
      <c r="G465" s="12">
        <f>F465*(1-'[1]Discounts page'!D$11)</f>
        <v>24.009711810560002</v>
      </c>
      <c r="H465" s="10">
        <v>32.394055617422225</v>
      </c>
      <c r="I465" s="12">
        <f>H465*(1-'[1]Discounts page'!D$11)</f>
        <v>22.675838932195557</v>
      </c>
      <c r="J465" s="47">
        <f t="shared" si="22"/>
        <v>43</v>
      </c>
      <c r="K465" s="48">
        <f t="shared" si="21"/>
        <v>38</v>
      </c>
      <c r="L465" s="49">
        <f t="shared" si="23"/>
        <v>35</v>
      </c>
    </row>
    <row r="466" spans="1:12" ht="15.75" x14ac:dyDescent="0.25">
      <c r="A466" s="11">
        <v>2135</v>
      </c>
      <c r="B466" s="8"/>
      <c r="C466" s="9" t="s">
        <v>41</v>
      </c>
      <c r="D466" s="10">
        <v>38.11065366755556</v>
      </c>
      <c r="E466" s="12">
        <f>D466*(1-'[1]Discounts page'!D$11)</f>
        <v>26.67745756728889</v>
      </c>
      <c r="F466" s="10">
        <v>34.299588300800004</v>
      </c>
      <c r="G466" s="12">
        <f>F466*(1-'[1]Discounts page'!D$11)</f>
        <v>24.009711810560002</v>
      </c>
      <c r="H466" s="10">
        <v>32.394055617422225</v>
      </c>
      <c r="I466" s="12">
        <f>H466*(1-'[1]Discounts page'!D$11)</f>
        <v>22.675838932195557</v>
      </c>
      <c r="J466" s="47">
        <f t="shared" si="22"/>
        <v>43</v>
      </c>
      <c r="K466" s="48">
        <f t="shared" si="21"/>
        <v>38</v>
      </c>
      <c r="L466" s="49">
        <f t="shared" si="23"/>
        <v>35</v>
      </c>
    </row>
    <row r="467" spans="1:12" ht="15.75" x14ac:dyDescent="0.25">
      <c r="A467" s="11">
        <v>2290</v>
      </c>
      <c r="B467" s="8"/>
      <c r="C467" s="9" t="s">
        <v>41</v>
      </c>
      <c r="D467" s="10">
        <v>38.11065366755556</v>
      </c>
      <c r="E467" s="12">
        <f>D467*(1-'[1]Discounts page'!D$11)</f>
        <v>26.67745756728889</v>
      </c>
      <c r="F467" s="10">
        <v>34.299588300800004</v>
      </c>
      <c r="G467" s="12">
        <f>F467*(1-'[1]Discounts page'!D$11)</f>
        <v>24.009711810560002</v>
      </c>
      <c r="H467" s="10">
        <v>32.394055617422225</v>
      </c>
      <c r="I467" s="12">
        <f>H467*(1-'[1]Discounts page'!D$11)</f>
        <v>22.675838932195557</v>
      </c>
      <c r="J467" s="47">
        <f t="shared" si="22"/>
        <v>43</v>
      </c>
      <c r="K467" s="48">
        <f t="shared" si="21"/>
        <v>38</v>
      </c>
      <c r="L467" s="49">
        <f t="shared" si="23"/>
        <v>35</v>
      </c>
    </row>
    <row r="468" spans="1:12" ht="15.75" x14ac:dyDescent="0.25">
      <c r="A468" s="11">
        <v>2440</v>
      </c>
      <c r="B468" s="8"/>
      <c r="C468" s="9" t="s">
        <v>41</v>
      </c>
      <c r="D468" s="10">
        <v>38.11065366755556</v>
      </c>
      <c r="E468" s="12">
        <f>D468*(1-'[1]Discounts page'!D$11)</f>
        <v>26.67745756728889</v>
      </c>
      <c r="F468" s="10">
        <v>34.299588300800004</v>
      </c>
      <c r="G468" s="12">
        <f>F468*(1-'[1]Discounts page'!D$11)</f>
        <v>24.009711810560002</v>
      </c>
      <c r="H468" s="10">
        <v>32.394055617422225</v>
      </c>
      <c r="I468" s="12">
        <f>H468*(1-'[1]Discounts page'!D$11)</f>
        <v>22.675838932195557</v>
      </c>
      <c r="J468" s="47">
        <f t="shared" si="22"/>
        <v>43</v>
      </c>
      <c r="K468" s="48">
        <f t="shared" si="21"/>
        <v>38</v>
      </c>
      <c r="L468" s="49">
        <f t="shared" si="23"/>
        <v>35</v>
      </c>
    </row>
    <row r="469" spans="1:12" ht="15.75" x14ac:dyDescent="0.25">
      <c r="A469" s="11">
        <v>2590</v>
      </c>
      <c r="B469" s="8"/>
      <c r="C469" s="9" t="s">
        <v>41</v>
      </c>
      <c r="D469" s="10">
        <v>38.11065366755556</v>
      </c>
      <c r="E469" s="12">
        <f>D469*(1-'[1]Discounts page'!D$11)</f>
        <v>26.67745756728889</v>
      </c>
      <c r="F469" s="10">
        <v>34.299588300800004</v>
      </c>
      <c r="G469" s="12">
        <f>F469*(1-'[1]Discounts page'!D$11)</f>
        <v>24.009711810560002</v>
      </c>
      <c r="H469" s="10">
        <v>32.394055617422225</v>
      </c>
      <c r="I469" s="12">
        <f>H469*(1-'[1]Discounts page'!D$11)</f>
        <v>22.675838932195557</v>
      </c>
      <c r="J469" s="47">
        <f t="shared" si="22"/>
        <v>43</v>
      </c>
      <c r="K469" s="48">
        <f t="shared" si="21"/>
        <v>38</v>
      </c>
      <c r="L469" s="49">
        <f t="shared" si="23"/>
        <v>35</v>
      </c>
    </row>
    <row r="470" spans="1:12" ht="15.75" x14ac:dyDescent="0.25">
      <c r="A470" s="11">
        <v>2745</v>
      </c>
      <c r="B470" s="8"/>
      <c r="C470" s="9" t="s">
        <v>41</v>
      </c>
      <c r="D470" s="10">
        <v>39.828756906666676</v>
      </c>
      <c r="E470" s="12">
        <f>D470*(1-'[1]Discounts page'!D$11)</f>
        <v>27.880129834666672</v>
      </c>
      <c r="F470" s="10">
        <v>35.845881216000009</v>
      </c>
      <c r="G470" s="12">
        <f>F470*(1-'[1]Discounts page'!D$11)</f>
        <v>25.092116851200004</v>
      </c>
      <c r="H470" s="10">
        <v>33.854443370666672</v>
      </c>
      <c r="I470" s="12">
        <f>H470*(1-'[1]Discounts page'!D$11)</f>
        <v>23.698110359466668</v>
      </c>
      <c r="J470" s="47">
        <f t="shared" si="22"/>
        <v>45</v>
      </c>
      <c r="K470" s="48">
        <f t="shared" si="21"/>
        <v>39</v>
      </c>
      <c r="L470" s="49">
        <f t="shared" si="23"/>
        <v>36</v>
      </c>
    </row>
    <row r="471" spans="1:12" ht="15.75" x14ac:dyDescent="0.25">
      <c r="A471" s="11">
        <v>2895</v>
      </c>
      <c r="B471" s="8"/>
      <c r="C471" s="9" t="s">
        <v>41</v>
      </c>
      <c r="D471" s="10">
        <v>41.390668942222234</v>
      </c>
      <c r="E471" s="12">
        <f>D471*(1-'[1]Discounts page'!D$11)</f>
        <v>28.973468259555563</v>
      </c>
      <c r="F471" s="10">
        <v>37.251602048000009</v>
      </c>
      <c r="G471" s="12">
        <f>F471*(1-'[1]Discounts page'!D$11)</f>
        <v>26.076121433600004</v>
      </c>
      <c r="H471" s="10">
        <v>35.182068600888897</v>
      </c>
      <c r="I471" s="12">
        <f>H471*(1-'[1]Discounts page'!D$11)</f>
        <v>24.627448020622225</v>
      </c>
      <c r="J471" s="47">
        <f t="shared" si="22"/>
        <v>47</v>
      </c>
      <c r="K471" s="48">
        <f t="shared" si="21"/>
        <v>41</v>
      </c>
      <c r="L471" s="49">
        <f t="shared" si="23"/>
        <v>37</v>
      </c>
    </row>
    <row r="472" spans="1:12" ht="15.75" x14ac:dyDescent="0.25">
      <c r="A472" s="11">
        <v>3050</v>
      </c>
      <c r="B472" s="8"/>
      <c r="C472" s="9" t="s">
        <v>41</v>
      </c>
      <c r="D472" s="10">
        <v>42.952580977777778</v>
      </c>
      <c r="E472" s="12">
        <f>D472*(1-'[1]Discounts page'!D$11)</f>
        <v>30.066806684444444</v>
      </c>
      <c r="F472" s="10">
        <v>38.657322880000002</v>
      </c>
      <c r="G472" s="12">
        <f>F472*(1-'[1]Discounts page'!D$11)</f>
        <v>27.060126016000002</v>
      </c>
      <c r="H472" s="10">
        <v>36.509693831111107</v>
      </c>
      <c r="I472" s="12">
        <f>H472*(1-'[1]Discounts page'!D$11)</f>
        <v>25.556785681777775</v>
      </c>
      <c r="J472" s="47">
        <f t="shared" si="22"/>
        <v>49</v>
      </c>
      <c r="K472" s="48">
        <f t="shared" si="21"/>
        <v>42</v>
      </c>
      <c r="L472" s="49">
        <f t="shared" si="23"/>
        <v>39</v>
      </c>
    </row>
    <row r="473" spans="1:12" ht="15.75" x14ac:dyDescent="0.25">
      <c r="A473" s="11">
        <v>3200</v>
      </c>
      <c r="B473" s="8"/>
      <c r="C473" s="9" t="s">
        <v>41</v>
      </c>
      <c r="D473" s="10">
        <v>45.139257827555561</v>
      </c>
      <c r="E473" s="12">
        <f>D473*(1-'[1]Discounts page'!D$11)</f>
        <v>31.59748047928889</v>
      </c>
      <c r="F473" s="10">
        <v>40.625332044800004</v>
      </c>
      <c r="G473" s="12">
        <f>F473*(1-'[1]Discounts page'!D$11)</f>
        <v>28.437732431360001</v>
      </c>
      <c r="H473" s="10">
        <v>38.368369153422229</v>
      </c>
      <c r="I473" s="12">
        <f>H473*(1-'[1]Discounts page'!D$11)</f>
        <v>26.857858407395558</v>
      </c>
      <c r="J473" s="47">
        <f t="shared" si="22"/>
        <v>51</v>
      </c>
      <c r="K473" s="48">
        <f t="shared" si="21"/>
        <v>45</v>
      </c>
      <c r="L473" s="49">
        <f t="shared" si="23"/>
        <v>41</v>
      </c>
    </row>
    <row r="474" spans="1:12" ht="15.75" x14ac:dyDescent="0.25">
      <c r="A474" s="11">
        <v>3355</v>
      </c>
      <c r="B474" s="8"/>
      <c r="C474" s="9" t="s">
        <v>41</v>
      </c>
      <c r="D474" s="10">
        <v>46.388787456000003</v>
      </c>
      <c r="E474" s="12">
        <f>D474*(1-'[1]Discounts page'!D$11)</f>
        <v>32.472151219200001</v>
      </c>
      <c r="F474" s="10">
        <v>41.749908710400007</v>
      </c>
      <c r="G474" s="12">
        <f>F474*(1-'[1]Discounts page'!D$11)</f>
        <v>29.224936097280004</v>
      </c>
      <c r="H474" s="10">
        <v>39.430469337600002</v>
      </c>
      <c r="I474" s="12">
        <f>H474*(1-'[1]Discounts page'!D$11)</f>
        <v>27.60132853632</v>
      </c>
      <c r="J474" s="47">
        <f t="shared" si="22"/>
        <v>52</v>
      </c>
      <c r="K474" s="48">
        <f t="shared" si="21"/>
        <v>46</v>
      </c>
      <c r="L474" s="49">
        <f t="shared" si="23"/>
        <v>42</v>
      </c>
    </row>
    <row r="475" spans="1:12" ht="15.75" x14ac:dyDescent="0.25">
      <c r="A475" s="11">
        <v>3510</v>
      </c>
      <c r="B475" s="8"/>
      <c r="C475" s="9" t="s">
        <v>41</v>
      </c>
      <c r="D475" s="10">
        <v>48.419273102222228</v>
      </c>
      <c r="E475" s="12">
        <f>D475*(1-'[1]Discounts page'!D$11)</f>
        <v>33.89349117155556</v>
      </c>
      <c r="F475" s="10">
        <v>43.577345792000003</v>
      </c>
      <c r="G475" s="12">
        <f>F475*(1-'[1]Discounts page'!D$11)</f>
        <v>30.504142054399999</v>
      </c>
      <c r="H475" s="10">
        <v>41.156382136888894</v>
      </c>
      <c r="I475" s="12">
        <f>H475*(1-'[1]Discounts page'!D$11)</f>
        <v>28.809467495822222</v>
      </c>
      <c r="J475" s="47">
        <f t="shared" si="22"/>
        <v>55</v>
      </c>
      <c r="K475" s="48">
        <f t="shared" si="21"/>
        <v>48</v>
      </c>
      <c r="L475" s="49">
        <f t="shared" si="23"/>
        <v>44</v>
      </c>
    </row>
    <row r="476" spans="1:12" ht="15.75" x14ac:dyDescent="0.25">
      <c r="A476" s="11">
        <v>3660</v>
      </c>
      <c r="B476" s="8"/>
      <c r="C476" s="9" t="s">
        <v>41</v>
      </c>
      <c r="D476" s="10">
        <v>50.137376341333336</v>
      </c>
      <c r="E476" s="12">
        <f>D476*(1-'[1]Discounts page'!D$11)</f>
        <v>35.096163438933331</v>
      </c>
      <c r="F476" s="10">
        <v>45.123638707200001</v>
      </c>
      <c r="G476" s="12">
        <f>F476*(1-'[1]Discounts page'!D$11)</f>
        <v>31.58654709504</v>
      </c>
      <c r="H476" s="10">
        <v>42.616769890133334</v>
      </c>
      <c r="I476" s="12">
        <f>H476*(1-'[1]Discounts page'!D$11)</f>
        <v>29.831738923093333</v>
      </c>
      <c r="J476" s="47">
        <f t="shared" si="22"/>
        <v>57</v>
      </c>
      <c r="K476" s="48">
        <f t="shared" si="21"/>
        <v>49</v>
      </c>
      <c r="L476" s="49">
        <f t="shared" si="23"/>
        <v>45</v>
      </c>
    </row>
    <row r="477" spans="1:12" ht="15.75" x14ac:dyDescent="0.25">
      <c r="A477" s="11">
        <v>3810</v>
      </c>
      <c r="B477" s="8"/>
      <c r="C477" s="9" t="s">
        <v>41</v>
      </c>
      <c r="D477" s="10">
        <v>51.386905969777779</v>
      </c>
      <c r="E477" s="12">
        <f>D477*(1-'[1]Discounts page'!D$11)</f>
        <v>35.970834178844441</v>
      </c>
      <c r="F477" s="10">
        <v>46.248215372800004</v>
      </c>
      <c r="G477" s="12">
        <f>F477*(1-'[1]Discounts page'!D$11)</f>
        <v>32.37375076096</v>
      </c>
      <c r="H477" s="10">
        <v>43.678870074311114</v>
      </c>
      <c r="I477" s="12">
        <f>H477*(1-'[1]Discounts page'!D$11)</f>
        <v>30.575209052017776</v>
      </c>
      <c r="J477" s="47">
        <f t="shared" si="22"/>
        <v>58</v>
      </c>
      <c r="K477" s="48">
        <f t="shared" si="21"/>
        <v>51</v>
      </c>
      <c r="L477" s="49">
        <f t="shared" si="23"/>
        <v>46</v>
      </c>
    </row>
    <row r="478" spans="1:12" ht="15.75" x14ac:dyDescent="0.25">
      <c r="A478" s="11">
        <v>3965</v>
      </c>
      <c r="B478" s="8"/>
      <c r="C478" s="9" t="s">
        <v>41</v>
      </c>
      <c r="D478" s="10">
        <v>53.261200412444445</v>
      </c>
      <c r="E478" s="12">
        <f>D478*(1-'[1]Discounts page'!D$11)</f>
        <v>37.282840288711107</v>
      </c>
      <c r="F478" s="10">
        <v>47.935080371200002</v>
      </c>
      <c r="G478" s="12">
        <f>F478*(1-'[1]Discounts page'!D$11)</f>
        <v>33.554556259839998</v>
      </c>
      <c r="H478" s="10">
        <v>45.272020350577776</v>
      </c>
      <c r="I478" s="12">
        <f>H478*(1-'[1]Discounts page'!D$11)</f>
        <v>31.69041424540444</v>
      </c>
      <c r="J478" s="47">
        <f t="shared" si="22"/>
        <v>60</v>
      </c>
      <c r="K478" s="48">
        <f t="shared" si="21"/>
        <v>53</v>
      </c>
      <c r="L478" s="49">
        <f t="shared" si="23"/>
        <v>48</v>
      </c>
    </row>
    <row r="479" spans="1:12" ht="15.75" x14ac:dyDescent="0.25">
      <c r="A479" s="11">
        <v>4115</v>
      </c>
      <c r="B479" s="8"/>
      <c r="C479" s="9" t="s">
        <v>41</v>
      </c>
      <c r="D479" s="10">
        <v>55.135494855111119</v>
      </c>
      <c r="E479" s="12">
        <f>D479*(1-'[1]Discounts page'!D$11)</f>
        <v>38.594846398577779</v>
      </c>
      <c r="F479" s="10">
        <v>49.621945369600006</v>
      </c>
      <c r="G479" s="12">
        <f>F479*(1-'[1]Discounts page'!D$11)</f>
        <v>34.735361758720003</v>
      </c>
      <c r="H479" s="10">
        <v>46.865170626844453</v>
      </c>
      <c r="I479" s="12">
        <f>H479*(1-'[1]Discounts page'!D$11)</f>
        <v>32.805619438791112</v>
      </c>
      <c r="J479" s="47">
        <f t="shared" si="22"/>
        <v>62</v>
      </c>
      <c r="K479" s="48">
        <f t="shared" si="21"/>
        <v>54</v>
      </c>
      <c r="L479" s="49">
        <f t="shared" si="23"/>
        <v>50</v>
      </c>
    </row>
    <row r="480" spans="1:12" ht="15.75" x14ac:dyDescent="0.25">
      <c r="A480" s="11">
        <v>4270</v>
      </c>
      <c r="B480" s="8"/>
      <c r="C480" s="9" t="s">
        <v>41</v>
      </c>
      <c r="D480" s="10">
        <v>57.009789297777779</v>
      </c>
      <c r="E480" s="12">
        <f>D480*(1-'[1]Discounts page'!D$11)</f>
        <v>39.906852508444445</v>
      </c>
      <c r="F480" s="10">
        <v>51.308810368000003</v>
      </c>
      <c r="G480" s="12">
        <f>F480*(1-'[1]Discounts page'!D$11)</f>
        <v>35.916167257600002</v>
      </c>
      <c r="H480" s="10">
        <v>48.458320903111108</v>
      </c>
      <c r="I480" s="12">
        <f>H480*(1-'[1]Discounts page'!D$11)</f>
        <v>33.920824632177776</v>
      </c>
      <c r="J480" s="47">
        <f t="shared" si="22"/>
        <v>64</v>
      </c>
      <c r="K480" s="48">
        <f t="shared" si="21"/>
        <v>56</v>
      </c>
      <c r="L480" s="49">
        <f t="shared" si="23"/>
        <v>51</v>
      </c>
    </row>
    <row r="481" spans="1:12" ht="15.75" x14ac:dyDescent="0.25">
      <c r="A481" s="7" t="s">
        <v>43</v>
      </c>
      <c r="B481" s="8"/>
      <c r="C481" s="9"/>
      <c r="D481" s="10"/>
      <c r="E481" s="12"/>
      <c r="F481" s="10"/>
      <c r="G481" s="12"/>
      <c r="H481" s="10"/>
      <c r="I481" s="12"/>
      <c r="J481" s="47">
        <f t="shared" si="22"/>
        <v>0</v>
      </c>
      <c r="K481" s="48">
        <f t="shared" si="21"/>
        <v>0</v>
      </c>
      <c r="L481" s="49">
        <f t="shared" si="23"/>
        <v>0</v>
      </c>
    </row>
    <row r="482" spans="1:12" ht="15.75" x14ac:dyDescent="0.25">
      <c r="A482" s="11">
        <v>1525</v>
      </c>
      <c r="B482" s="8"/>
      <c r="C482" s="9" t="s">
        <v>41</v>
      </c>
      <c r="D482" s="10">
        <v>43.108772181333343</v>
      </c>
      <c r="E482" s="12">
        <f>D482*(1-'[1]Discounts page'!D$11)</f>
        <v>30.176140526933338</v>
      </c>
      <c r="F482" s="10">
        <v>38.797894963200008</v>
      </c>
      <c r="G482" s="12">
        <f>F482*(1-'[1]Discounts page'!D$11)</f>
        <v>27.158526474240006</v>
      </c>
      <c r="H482" s="10">
        <v>36.642456354133344</v>
      </c>
      <c r="I482" s="12">
        <f>H482*(1-'[1]Discounts page'!D$11)</f>
        <v>25.649719447893339</v>
      </c>
      <c r="J482" s="47">
        <f t="shared" si="22"/>
        <v>49</v>
      </c>
      <c r="K482" s="48">
        <f t="shared" si="21"/>
        <v>43</v>
      </c>
      <c r="L482" s="49">
        <f t="shared" si="23"/>
        <v>39</v>
      </c>
    </row>
    <row r="483" spans="1:12" ht="15.75" x14ac:dyDescent="0.25">
      <c r="A483" s="11">
        <v>1680</v>
      </c>
      <c r="B483" s="8"/>
      <c r="C483" s="9" t="s">
        <v>41</v>
      </c>
      <c r="D483" s="10">
        <v>43.108772181333343</v>
      </c>
      <c r="E483" s="12">
        <f>D483*(1-'[1]Discounts page'!D$11)</f>
        <v>30.176140526933338</v>
      </c>
      <c r="F483" s="10">
        <v>38.797894963200008</v>
      </c>
      <c r="G483" s="12">
        <f>F483*(1-'[1]Discounts page'!D$11)</f>
        <v>27.158526474240006</v>
      </c>
      <c r="H483" s="10">
        <v>36.642456354133344</v>
      </c>
      <c r="I483" s="12">
        <f>H483*(1-'[1]Discounts page'!D$11)</f>
        <v>25.649719447893339</v>
      </c>
      <c r="J483" s="47">
        <f t="shared" si="22"/>
        <v>49</v>
      </c>
      <c r="K483" s="48">
        <f t="shared" si="21"/>
        <v>43</v>
      </c>
      <c r="L483" s="49">
        <f t="shared" si="23"/>
        <v>39</v>
      </c>
    </row>
    <row r="484" spans="1:12" ht="15.75" x14ac:dyDescent="0.25">
      <c r="A484" s="11">
        <v>1830</v>
      </c>
      <c r="B484" s="8"/>
      <c r="C484" s="9" t="s">
        <v>41</v>
      </c>
      <c r="D484" s="10">
        <v>43.108772181333343</v>
      </c>
      <c r="E484" s="12">
        <f>D484*(1-'[1]Discounts page'!D$11)</f>
        <v>30.176140526933338</v>
      </c>
      <c r="F484" s="10">
        <v>38.797894963200008</v>
      </c>
      <c r="G484" s="12">
        <f>F484*(1-'[1]Discounts page'!D$11)</f>
        <v>27.158526474240006</v>
      </c>
      <c r="H484" s="10">
        <v>36.642456354133344</v>
      </c>
      <c r="I484" s="12">
        <f>H484*(1-'[1]Discounts page'!D$11)</f>
        <v>25.649719447893339</v>
      </c>
      <c r="J484" s="47">
        <f t="shared" si="22"/>
        <v>49</v>
      </c>
      <c r="K484" s="48">
        <f t="shared" si="21"/>
        <v>43</v>
      </c>
      <c r="L484" s="49">
        <f t="shared" si="23"/>
        <v>39</v>
      </c>
    </row>
    <row r="485" spans="1:12" ht="15.75" x14ac:dyDescent="0.25">
      <c r="A485" s="11">
        <v>1985</v>
      </c>
      <c r="B485" s="8"/>
      <c r="C485" s="9" t="s">
        <v>41</v>
      </c>
      <c r="D485" s="10">
        <v>43.108772181333343</v>
      </c>
      <c r="E485" s="12">
        <f>D485*(1-'[1]Discounts page'!D$11)</f>
        <v>30.176140526933338</v>
      </c>
      <c r="F485" s="10">
        <v>38.797894963200008</v>
      </c>
      <c r="G485" s="12">
        <f>F485*(1-'[1]Discounts page'!D$11)</f>
        <v>27.158526474240006</v>
      </c>
      <c r="H485" s="10">
        <v>36.642456354133344</v>
      </c>
      <c r="I485" s="12">
        <f>H485*(1-'[1]Discounts page'!D$11)</f>
        <v>25.649719447893339</v>
      </c>
      <c r="J485" s="47">
        <f t="shared" si="22"/>
        <v>49</v>
      </c>
      <c r="K485" s="48">
        <f t="shared" si="21"/>
        <v>43</v>
      </c>
      <c r="L485" s="49">
        <f t="shared" si="23"/>
        <v>39</v>
      </c>
    </row>
    <row r="486" spans="1:12" ht="15.75" x14ac:dyDescent="0.25">
      <c r="A486" s="11">
        <v>2135</v>
      </c>
      <c r="B486" s="8"/>
      <c r="C486" s="9" t="s">
        <v>41</v>
      </c>
      <c r="D486" s="10">
        <v>43.108772181333343</v>
      </c>
      <c r="E486" s="12">
        <f>D486*(1-'[1]Discounts page'!D$11)</f>
        <v>30.176140526933338</v>
      </c>
      <c r="F486" s="10">
        <v>38.797894963200008</v>
      </c>
      <c r="G486" s="12">
        <f>F486*(1-'[1]Discounts page'!D$11)</f>
        <v>27.158526474240006</v>
      </c>
      <c r="H486" s="10">
        <v>36.642456354133344</v>
      </c>
      <c r="I486" s="12">
        <f>H486*(1-'[1]Discounts page'!D$11)</f>
        <v>25.649719447893339</v>
      </c>
      <c r="J486" s="47">
        <f t="shared" si="22"/>
        <v>49</v>
      </c>
      <c r="K486" s="48">
        <f t="shared" si="21"/>
        <v>43</v>
      </c>
      <c r="L486" s="49">
        <f t="shared" si="23"/>
        <v>39</v>
      </c>
    </row>
    <row r="487" spans="1:12" ht="15.75" x14ac:dyDescent="0.25">
      <c r="A487" s="11">
        <v>2290</v>
      </c>
      <c r="B487" s="8"/>
      <c r="C487" s="9" t="s">
        <v>41</v>
      </c>
      <c r="D487" s="10">
        <v>43.108772181333343</v>
      </c>
      <c r="E487" s="12">
        <f>D487*(1-'[1]Discounts page'!D$11)</f>
        <v>30.176140526933338</v>
      </c>
      <c r="F487" s="10">
        <v>38.797894963200008</v>
      </c>
      <c r="G487" s="12">
        <f>F487*(1-'[1]Discounts page'!D$11)</f>
        <v>27.158526474240006</v>
      </c>
      <c r="H487" s="10">
        <v>36.642456354133344</v>
      </c>
      <c r="I487" s="12">
        <f>H487*(1-'[1]Discounts page'!D$11)</f>
        <v>25.649719447893339</v>
      </c>
      <c r="J487" s="47">
        <f t="shared" si="22"/>
        <v>49</v>
      </c>
      <c r="K487" s="48">
        <f t="shared" si="21"/>
        <v>43</v>
      </c>
      <c r="L487" s="49">
        <f t="shared" si="23"/>
        <v>39</v>
      </c>
    </row>
    <row r="488" spans="1:12" ht="15.75" x14ac:dyDescent="0.25">
      <c r="A488" s="11">
        <v>2440</v>
      </c>
      <c r="B488" s="8"/>
      <c r="C488" s="9" t="s">
        <v>41</v>
      </c>
      <c r="D488" s="10">
        <v>43.108772181333343</v>
      </c>
      <c r="E488" s="12">
        <f>D488*(1-'[1]Discounts page'!D$11)</f>
        <v>30.176140526933338</v>
      </c>
      <c r="F488" s="10">
        <v>38.797894963200008</v>
      </c>
      <c r="G488" s="12">
        <f>F488*(1-'[1]Discounts page'!D$11)</f>
        <v>27.158526474240006</v>
      </c>
      <c r="H488" s="10">
        <v>36.642456354133344</v>
      </c>
      <c r="I488" s="12">
        <f>H488*(1-'[1]Discounts page'!D$11)</f>
        <v>25.649719447893339</v>
      </c>
      <c r="J488" s="47">
        <f t="shared" si="22"/>
        <v>49</v>
      </c>
      <c r="K488" s="48">
        <f t="shared" si="21"/>
        <v>43</v>
      </c>
      <c r="L488" s="49">
        <f t="shared" si="23"/>
        <v>39</v>
      </c>
    </row>
    <row r="489" spans="1:12" ht="15.75" x14ac:dyDescent="0.25">
      <c r="A489" s="11">
        <v>2590</v>
      </c>
      <c r="B489" s="8"/>
      <c r="C489" s="9" t="s">
        <v>41</v>
      </c>
      <c r="D489" s="10">
        <v>43.108772181333343</v>
      </c>
      <c r="E489" s="12">
        <f>D489*(1-'[1]Discounts page'!D$11)</f>
        <v>30.176140526933338</v>
      </c>
      <c r="F489" s="10">
        <v>38.797894963200008</v>
      </c>
      <c r="G489" s="12">
        <f>F489*(1-'[1]Discounts page'!D$11)</f>
        <v>27.158526474240006</v>
      </c>
      <c r="H489" s="10">
        <v>36.642456354133344</v>
      </c>
      <c r="I489" s="12">
        <f>H489*(1-'[1]Discounts page'!D$11)</f>
        <v>25.649719447893339</v>
      </c>
      <c r="J489" s="47">
        <f t="shared" si="22"/>
        <v>49</v>
      </c>
      <c r="K489" s="48">
        <f t="shared" si="21"/>
        <v>43</v>
      </c>
      <c r="L489" s="49">
        <f t="shared" si="23"/>
        <v>39</v>
      </c>
    </row>
    <row r="490" spans="1:12" ht="15.75" x14ac:dyDescent="0.25">
      <c r="A490" s="11">
        <v>2745</v>
      </c>
      <c r="B490" s="8"/>
      <c r="C490" s="9" t="s">
        <v>41</v>
      </c>
      <c r="D490" s="10">
        <v>45.607831438222235</v>
      </c>
      <c r="E490" s="12">
        <f>D490*(1-'[1]Discounts page'!D$11)</f>
        <v>31.925482006755562</v>
      </c>
      <c r="F490" s="10">
        <v>41.047048294400014</v>
      </c>
      <c r="G490" s="12">
        <f>F490*(1-'[1]Discounts page'!D$11)</f>
        <v>28.732933806080009</v>
      </c>
      <c r="H490" s="10">
        <v>38.766656722488896</v>
      </c>
      <c r="I490" s="12">
        <f>H490*(1-'[1]Discounts page'!D$11)</f>
        <v>27.136659705742225</v>
      </c>
      <c r="J490" s="47">
        <f t="shared" si="22"/>
        <v>52</v>
      </c>
      <c r="K490" s="48">
        <f t="shared" si="21"/>
        <v>45</v>
      </c>
      <c r="L490" s="49">
        <f t="shared" si="23"/>
        <v>41</v>
      </c>
    </row>
    <row r="491" spans="1:12" ht="15.75" x14ac:dyDescent="0.25">
      <c r="A491" s="11">
        <v>2895</v>
      </c>
      <c r="B491" s="8"/>
      <c r="C491" s="9" t="s">
        <v>41</v>
      </c>
      <c r="D491" s="10">
        <v>47.013552270222235</v>
      </c>
      <c r="E491" s="12">
        <f>D491*(1-'[1]Discounts page'!D$11)</f>
        <v>32.909486589155563</v>
      </c>
      <c r="F491" s="10">
        <v>42.312197043200015</v>
      </c>
      <c r="G491" s="12">
        <f>F491*(1-'[1]Discounts page'!D$11)</f>
        <v>29.618537930240009</v>
      </c>
      <c r="H491" s="10">
        <v>39.961519429688899</v>
      </c>
      <c r="I491" s="12">
        <f>H491*(1-'[1]Discounts page'!D$11)</f>
        <v>27.973063600782229</v>
      </c>
      <c r="J491" s="47">
        <f t="shared" si="22"/>
        <v>53</v>
      </c>
      <c r="K491" s="48">
        <f t="shared" si="21"/>
        <v>46</v>
      </c>
      <c r="L491" s="49">
        <f t="shared" si="23"/>
        <v>42</v>
      </c>
    </row>
    <row r="492" spans="1:12" ht="15.75" x14ac:dyDescent="0.25">
      <c r="A492" s="11">
        <v>3050</v>
      </c>
      <c r="B492" s="8"/>
      <c r="C492" s="9" t="s">
        <v>41</v>
      </c>
      <c r="D492" s="10">
        <v>49.512611527111126</v>
      </c>
      <c r="E492" s="12">
        <f>D492*(1-'[1]Discounts page'!D$11)</f>
        <v>34.658828068977783</v>
      </c>
      <c r="F492" s="10">
        <v>44.561350374400014</v>
      </c>
      <c r="G492" s="12">
        <f>F492*(1-'[1]Discounts page'!D$11)</f>
        <v>31.192945262080009</v>
      </c>
      <c r="H492" s="10">
        <v>42.085719798044458</v>
      </c>
      <c r="I492" s="12">
        <f>H492*(1-'[1]Discounts page'!D$11)</f>
        <v>29.460003858631119</v>
      </c>
      <c r="J492" s="47">
        <f t="shared" si="22"/>
        <v>56</v>
      </c>
      <c r="K492" s="48">
        <f t="shared" si="21"/>
        <v>49</v>
      </c>
      <c r="L492" s="49">
        <f t="shared" si="23"/>
        <v>45</v>
      </c>
    </row>
    <row r="493" spans="1:12" ht="15.75" x14ac:dyDescent="0.25">
      <c r="A493" s="11">
        <v>3200</v>
      </c>
      <c r="B493" s="8"/>
      <c r="C493" s="9" t="s">
        <v>41</v>
      </c>
      <c r="D493" s="10">
        <v>51.07452356266667</v>
      </c>
      <c r="E493" s="12">
        <f>D493*(1-'[1]Discounts page'!D$11)</f>
        <v>35.752166493866667</v>
      </c>
      <c r="F493" s="10">
        <v>45.967071206400007</v>
      </c>
      <c r="G493" s="12">
        <f>F493*(1-'[1]Discounts page'!D$11)</f>
        <v>32.176949844480006</v>
      </c>
      <c r="H493" s="10">
        <v>43.413345028266669</v>
      </c>
      <c r="I493" s="12">
        <f>H493*(1-'[1]Discounts page'!D$11)</f>
        <v>30.389341519786665</v>
      </c>
      <c r="J493" s="47">
        <f t="shared" si="22"/>
        <v>58</v>
      </c>
      <c r="K493" s="48">
        <f t="shared" si="21"/>
        <v>50</v>
      </c>
      <c r="L493" s="49">
        <f t="shared" si="23"/>
        <v>46</v>
      </c>
    </row>
    <row r="494" spans="1:12" ht="15.75" x14ac:dyDescent="0.25">
      <c r="A494" s="11">
        <v>3355</v>
      </c>
      <c r="B494" s="8"/>
      <c r="C494" s="9" t="s">
        <v>41</v>
      </c>
      <c r="D494" s="10">
        <v>53.261200412444445</v>
      </c>
      <c r="E494" s="12">
        <f>D494*(1-'[1]Discounts page'!D$11)</f>
        <v>37.282840288711107</v>
      </c>
      <c r="F494" s="10">
        <v>47.935080371200002</v>
      </c>
      <c r="G494" s="12">
        <f>F494*(1-'[1]Discounts page'!D$11)</f>
        <v>33.554556259839998</v>
      </c>
      <c r="H494" s="10">
        <v>45.272020350577776</v>
      </c>
      <c r="I494" s="12">
        <f>H494*(1-'[1]Discounts page'!D$11)</f>
        <v>31.69041424540444</v>
      </c>
      <c r="J494" s="47">
        <f t="shared" si="22"/>
        <v>60</v>
      </c>
      <c r="K494" s="48">
        <f t="shared" si="21"/>
        <v>53</v>
      </c>
      <c r="L494" s="49">
        <f t="shared" si="23"/>
        <v>48</v>
      </c>
    </row>
    <row r="495" spans="1:12" ht="15.75" x14ac:dyDescent="0.25">
      <c r="A495" s="11">
        <v>3510</v>
      </c>
      <c r="B495" s="8"/>
      <c r="C495" s="9" t="s">
        <v>41</v>
      </c>
      <c r="D495" s="10">
        <v>55.291686058666677</v>
      </c>
      <c r="E495" s="12">
        <f>D495*(1-'[1]Discounts page'!D$11)</f>
        <v>38.704180241066673</v>
      </c>
      <c r="F495" s="10">
        <v>49.762517452800012</v>
      </c>
      <c r="G495" s="12">
        <f>F495*(1-'[1]Discounts page'!D$11)</f>
        <v>34.833762216960004</v>
      </c>
      <c r="H495" s="10">
        <v>46.997933149866675</v>
      </c>
      <c r="I495" s="12">
        <f>H495*(1-'[1]Discounts page'!D$11)</f>
        <v>32.898553204906669</v>
      </c>
      <c r="J495" s="47">
        <f t="shared" si="22"/>
        <v>62</v>
      </c>
      <c r="K495" s="48">
        <f t="shared" si="21"/>
        <v>54</v>
      </c>
      <c r="L495" s="49">
        <f t="shared" si="23"/>
        <v>50</v>
      </c>
    </row>
    <row r="496" spans="1:12" ht="15.75" x14ac:dyDescent="0.25">
      <c r="A496" s="11">
        <v>3660</v>
      </c>
      <c r="B496" s="8"/>
      <c r="C496" s="9" t="s">
        <v>41</v>
      </c>
      <c r="D496" s="10">
        <v>57.478362908444467</v>
      </c>
      <c r="E496" s="12">
        <f>D496*(1-'[1]Discounts page'!D$11)</f>
        <v>40.234854035911127</v>
      </c>
      <c r="F496" s="10">
        <v>51.73052661760002</v>
      </c>
      <c r="G496" s="12">
        <f>F496*(1-'[1]Discounts page'!D$11)</f>
        <v>36.21136863232001</v>
      </c>
      <c r="H496" s="10">
        <v>48.856608472177797</v>
      </c>
      <c r="I496" s="12">
        <f>H496*(1-'[1]Discounts page'!D$11)</f>
        <v>34.199625930524455</v>
      </c>
      <c r="J496" s="47">
        <f t="shared" si="22"/>
        <v>65</v>
      </c>
      <c r="K496" s="48">
        <f t="shared" si="21"/>
        <v>57</v>
      </c>
      <c r="L496" s="49">
        <f t="shared" si="23"/>
        <v>52</v>
      </c>
    </row>
    <row r="497" spans="1:12" ht="15.75" x14ac:dyDescent="0.25">
      <c r="A497" s="11">
        <v>3810</v>
      </c>
      <c r="B497" s="8"/>
      <c r="C497" s="9" t="s">
        <v>41</v>
      </c>
      <c r="D497" s="10">
        <v>59.040274944000018</v>
      </c>
      <c r="E497" s="12">
        <f>D497*(1-'[1]Discounts page'!D$11)</f>
        <v>41.328192460800011</v>
      </c>
      <c r="F497" s="10">
        <v>53.13624744960002</v>
      </c>
      <c r="G497" s="12">
        <f>F497*(1-'[1]Discounts page'!D$11)</f>
        <v>37.195373214720014</v>
      </c>
      <c r="H497" s="10">
        <v>50.184233702400014</v>
      </c>
      <c r="I497" s="12">
        <f>H497*(1-'[1]Discounts page'!D$11)</f>
        <v>35.128963591680005</v>
      </c>
      <c r="J497" s="47">
        <f t="shared" si="22"/>
        <v>67</v>
      </c>
      <c r="K497" s="48">
        <f t="shared" si="21"/>
        <v>58</v>
      </c>
      <c r="L497" s="49">
        <f t="shared" si="23"/>
        <v>53</v>
      </c>
    </row>
    <row r="498" spans="1:12" ht="15.75" x14ac:dyDescent="0.25">
      <c r="A498" s="11">
        <v>3965</v>
      </c>
      <c r="B498" s="8"/>
      <c r="C498" s="9" t="s">
        <v>41</v>
      </c>
      <c r="D498" s="10">
        <v>61.226951793777779</v>
      </c>
      <c r="E498" s="12">
        <f>D498*(1-'[1]Discounts page'!D$11)</f>
        <v>42.858866255644443</v>
      </c>
      <c r="F498" s="10">
        <v>55.104256614400001</v>
      </c>
      <c r="G498" s="12">
        <f>F498*(1-'[1]Discounts page'!D$11)</f>
        <v>38.572979630079999</v>
      </c>
      <c r="H498" s="10">
        <v>52.042909024711108</v>
      </c>
      <c r="I498" s="12">
        <f>H498*(1-'[1]Discounts page'!D$11)</f>
        <v>36.43003631729777</v>
      </c>
      <c r="J498" s="47">
        <f t="shared" si="22"/>
        <v>69</v>
      </c>
      <c r="K498" s="48">
        <f t="shared" si="21"/>
        <v>60</v>
      </c>
      <c r="L498" s="49">
        <f t="shared" si="23"/>
        <v>55</v>
      </c>
    </row>
    <row r="499" spans="1:12" ht="15.75" x14ac:dyDescent="0.25">
      <c r="A499" s="11">
        <v>4115</v>
      </c>
      <c r="B499" s="8"/>
      <c r="C499" s="9" t="s">
        <v>41</v>
      </c>
      <c r="D499" s="10">
        <v>63.257437440000004</v>
      </c>
      <c r="E499" s="12">
        <f>D499*(1-'[1]Discounts page'!D$11)</f>
        <v>44.280206208000003</v>
      </c>
      <c r="F499" s="10">
        <v>56.931693696000004</v>
      </c>
      <c r="G499" s="12">
        <f>F499*(1-'[1]Discounts page'!D$11)</f>
        <v>39.852185587199997</v>
      </c>
      <c r="H499" s="10">
        <v>53.768821824</v>
      </c>
      <c r="I499" s="12">
        <f>H499*(1-'[1]Discounts page'!D$11)</f>
        <v>37.638175276799998</v>
      </c>
      <c r="J499" s="47">
        <f t="shared" si="22"/>
        <v>71</v>
      </c>
      <c r="K499" s="48">
        <f t="shared" si="21"/>
        <v>62</v>
      </c>
      <c r="L499" s="49">
        <f t="shared" si="23"/>
        <v>57</v>
      </c>
    </row>
    <row r="500" spans="1:12" ht="16.5" thickBot="1" x14ac:dyDescent="0.3">
      <c r="A500" s="11">
        <v>4270</v>
      </c>
      <c r="B500" s="8"/>
      <c r="C500" s="9" t="s">
        <v>41</v>
      </c>
      <c r="D500" s="10">
        <v>65.287923086222236</v>
      </c>
      <c r="E500" s="12">
        <f>D500*(1-'[1]Discounts page'!D$11)</f>
        <v>45.701546160355562</v>
      </c>
      <c r="F500" s="10">
        <v>58.759130777600014</v>
      </c>
      <c r="G500" s="12">
        <f>F500*(1-'[1]Discounts page'!D$11)</f>
        <v>41.13139154432001</v>
      </c>
      <c r="H500" s="10">
        <v>55.494734623288899</v>
      </c>
      <c r="I500" s="12">
        <f>H500*(1-'[1]Discounts page'!D$11)</f>
        <v>38.846314236302227</v>
      </c>
      <c r="J500" s="50">
        <f t="shared" si="22"/>
        <v>74</v>
      </c>
      <c r="K500" s="51">
        <f>ROUNDUP(G500*1.55,0)</f>
        <v>64</v>
      </c>
      <c r="L500" s="52">
        <f t="shared" si="23"/>
        <v>59</v>
      </c>
    </row>
    <row r="501" spans="1:12" ht="15.75" x14ac:dyDescent="0.25">
      <c r="A501" s="11"/>
      <c r="B501" s="8"/>
      <c r="C501" s="9"/>
      <c r="D501" s="10"/>
      <c r="E501" s="12"/>
      <c r="F501" s="10"/>
      <c r="G501" s="12"/>
      <c r="H501" s="10"/>
      <c r="I501" s="12"/>
    </row>
    <row r="502" spans="1:12" ht="18.75" x14ac:dyDescent="0.3">
      <c r="A502" s="17" t="s">
        <v>44</v>
      </c>
      <c r="B502" s="18"/>
      <c r="C502" s="19"/>
      <c r="F502" s="14"/>
      <c r="G502" s="5"/>
      <c r="H502" s="14"/>
      <c r="I502" s="15"/>
      <c r="J502" s="53" t="s">
        <v>2217</v>
      </c>
    </row>
    <row r="503" spans="1:12" ht="16.5" thickBot="1" x14ac:dyDescent="0.3">
      <c r="A503" s="20" t="s">
        <v>45</v>
      </c>
      <c r="B503" s="16"/>
      <c r="C503" s="20"/>
      <c r="F503" s="10"/>
      <c r="G503" s="9"/>
      <c r="H503" s="10"/>
      <c r="I503" s="12"/>
    </row>
    <row r="504" spans="1:12" ht="18.75" x14ac:dyDescent="0.3">
      <c r="A504" s="8" t="s">
        <v>46</v>
      </c>
      <c r="B504" s="9" t="s">
        <v>47</v>
      </c>
      <c r="C504" s="9" t="s">
        <v>48</v>
      </c>
      <c r="F504" s="10"/>
      <c r="G504" s="9"/>
      <c r="H504" s="10">
        <v>176.29999999999998</v>
      </c>
      <c r="I504" s="12">
        <f>H504*(1-'[1]Discounts page'!D$13)</f>
        <v>105.77999999999999</v>
      </c>
      <c r="J504" s="54">
        <f>ROUNDUP(I504*1.5,0)</f>
        <v>159</v>
      </c>
    </row>
    <row r="505" spans="1:12" ht="18.75" x14ac:dyDescent="0.3">
      <c r="A505" s="8" t="s">
        <v>49</v>
      </c>
      <c r="B505" s="9" t="s">
        <v>50</v>
      </c>
      <c r="C505" s="9" t="s">
        <v>48</v>
      </c>
      <c r="F505" s="10"/>
      <c r="G505" s="9"/>
      <c r="H505" s="10">
        <v>176.29999999999998</v>
      </c>
      <c r="I505" s="12">
        <f>H505*(1-'[1]Discounts page'!D$13)</f>
        <v>105.77999999999999</v>
      </c>
      <c r="J505" s="55">
        <f t="shared" ref="J505:J568" si="24">ROUNDUP(I505*1.5,0)</f>
        <v>159</v>
      </c>
    </row>
    <row r="506" spans="1:12" ht="18.75" x14ac:dyDescent="0.3">
      <c r="A506" s="8" t="s">
        <v>51</v>
      </c>
      <c r="B506" s="9" t="s">
        <v>52</v>
      </c>
      <c r="C506" s="9" t="s">
        <v>48</v>
      </c>
      <c r="F506" s="10"/>
      <c r="G506" s="9"/>
      <c r="H506" s="10">
        <v>189.7</v>
      </c>
      <c r="I506" s="12">
        <f>H506*(1-'[1]Discounts page'!D$13)</f>
        <v>113.82</v>
      </c>
      <c r="J506" s="55">
        <f t="shared" si="24"/>
        <v>171</v>
      </c>
    </row>
    <row r="507" spans="1:12" ht="18.75" x14ac:dyDescent="0.3">
      <c r="A507" s="8" t="s">
        <v>53</v>
      </c>
      <c r="B507" s="9" t="s">
        <v>54</v>
      </c>
      <c r="C507" s="9" t="s">
        <v>48</v>
      </c>
      <c r="F507" s="10"/>
      <c r="G507" s="9"/>
      <c r="H507" s="10">
        <v>207</v>
      </c>
      <c r="I507" s="12">
        <f>H507*(1-'[1]Discounts page'!D$13)</f>
        <v>124.19999999999999</v>
      </c>
      <c r="J507" s="55">
        <f t="shared" si="24"/>
        <v>187</v>
      </c>
    </row>
    <row r="508" spans="1:12" ht="18.75" x14ac:dyDescent="0.3">
      <c r="A508" s="8" t="s">
        <v>55</v>
      </c>
      <c r="B508" s="9" t="s">
        <v>56</v>
      </c>
      <c r="C508" s="9" t="s">
        <v>48</v>
      </c>
      <c r="F508" s="10"/>
      <c r="G508" s="9"/>
      <c r="H508" s="10">
        <v>207</v>
      </c>
      <c r="I508" s="12">
        <f>H508*(1-'[1]Discounts page'!D$13)</f>
        <v>124.19999999999999</v>
      </c>
      <c r="J508" s="55">
        <f t="shared" si="24"/>
        <v>187</v>
      </c>
    </row>
    <row r="509" spans="1:12" ht="18.75" x14ac:dyDescent="0.3">
      <c r="A509" s="8" t="s">
        <v>57</v>
      </c>
      <c r="B509" s="9" t="s">
        <v>58</v>
      </c>
      <c r="C509" s="9" t="s">
        <v>48</v>
      </c>
      <c r="F509" s="10"/>
      <c r="G509" s="9"/>
      <c r="H509" s="10">
        <v>207</v>
      </c>
      <c r="I509" s="12">
        <f>H509*(1-'[1]Discounts page'!D$13)</f>
        <v>124.19999999999999</v>
      </c>
      <c r="J509" s="55">
        <f t="shared" si="24"/>
        <v>187</v>
      </c>
    </row>
    <row r="510" spans="1:12" ht="18.75" x14ac:dyDescent="0.3">
      <c r="A510" s="8" t="s">
        <v>59</v>
      </c>
      <c r="B510" s="9" t="s">
        <v>60</v>
      </c>
      <c r="C510" s="9" t="s">
        <v>48</v>
      </c>
      <c r="F510" s="10"/>
      <c r="G510" s="9"/>
      <c r="H510" s="10">
        <v>222.79999999999998</v>
      </c>
      <c r="I510" s="12">
        <f>H510*(1-'[1]Discounts page'!D$13)</f>
        <v>133.67999999999998</v>
      </c>
      <c r="J510" s="55">
        <f t="shared" si="24"/>
        <v>201</v>
      </c>
    </row>
    <row r="511" spans="1:12" ht="18.75" x14ac:dyDescent="0.3">
      <c r="A511" s="8" t="s">
        <v>61</v>
      </c>
      <c r="B511" s="9" t="s">
        <v>62</v>
      </c>
      <c r="C511" s="9" t="s">
        <v>48</v>
      </c>
      <c r="F511" s="10"/>
      <c r="G511" s="9"/>
      <c r="H511" s="10">
        <v>222.79999999999998</v>
      </c>
      <c r="I511" s="12">
        <f>H511*(1-'[1]Discounts page'!D$13)</f>
        <v>133.67999999999998</v>
      </c>
      <c r="J511" s="55">
        <f t="shared" si="24"/>
        <v>201</v>
      </c>
    </row>
    <row r="512" spans="1:12" ht="18.75" x14ac:dyDescent="0.3">
      <c r="A512" s="8" t="s">
        <v>63</v>
      </c>
      <c r="B512" s="9" t="s">
        <v>64</v>
      </c>
      <c r="C512" s="9" t="s">
        <v>48</v>
      </c>
      <c r="F512" s="10"/>
      <c r="G512" s="9"/>
      <c r="H512" s="10">
        <v>222.79999999999998</v>
      </c>
      <c r="I512" s="12">
        <f>H512*(1-'[1]Discounts page'!D$13)</f>
        <v>133.67999999999998</v>
      </c>
      <c r="J512" s="55">
        <f t="shared" si="24"/>
        <v>201</v>
      </c>
    </row>
    <row r="513" spans="1:10" ht="18.75" x14ac:dyDescent="0.3">
      <c r="A513" s="8" t="s">
        <v>65</v>
      </c>
      <c r="B513" s="9" t="s">
        <v>66</v>
      </c>
      <c r="C513" s="9" t="s">
        <v>48</v>
      </c>
      <c r="F513" s="10"/>
      <c r="G513" s="9"/>
      <c r="H513" s="10">
        <v>271.60000000000002</v>
      </c>
      <c r="I513" s="12">
        <f>H513*(1-'[1]Discounts page'!D$13)</f>
        <v>162.96</v>
      </c>
      <c r="J513" s="55">
        <f t="shared" si="24"/>
        <v>245</v>
      </c>
    </row>
    <row r="514" spans="1:10" ht="18.75" x14ac:dyDescent="0.3">
      <c r="A514" s="8" t="s">
        <v>67</v>
      </c>
      <c r="B514" s="9" t="s">
        <v>68</v>
      </c>
      <c r="C514" s="9" t="s">
        <v>48</v>
      </c>
      <c r="F514" s="10"/>
      <c r="G514" s="9"/>
      <c r="H514" s="10">
        <v>271.60000000000002</v>
      </c>
      <c r="I514" s="12">
        <f>H514*(1-'[1]Discounts page'!D$13)</f>
        <v>162.96</v>
      </c>
      <c r="J514" s="55">
        <f t="shared" si="24"/>
        <v>245</v>
      </c>
    </row>
    <row r="515" spans="1:10" ht="18.75" x14ac:dyDescent="0.3">
      <c r="A515" s="8" t="s">
        <v>69</v>
      </c>
      <c r="B515" s="9" t="s">
        <v>70</v>
      </c>
      <c r="C515" s="9" t="s">
        <v>48</v>
      </c>
      <c r="F515" s="10"/>
      <c r="G515" s="9"/>
      <c r="H515" s="10">
        <v>271.60000000000002</v>
      </c>
      <c r="I515" s="12">
        <f>H515*(1-'[1]Discounts page'!D$13)</f>
        <v>162.96</v>
      </c>
      <c r="J515" s="55">
        <f t="shared" si="24"/>
        <v>245</v>
      </c>
    </row>
    <row r="516" spans="1:10" ht="18.75" x14ac:dyDescent="0.3">
      <c r="A516" s="8" t="s">
        <v>71</v>
      </c>
      <c r="B516" s="9" t="s">
        <v>72</v>
      </c>
      <c r="C516" s="9" t="s">
        <v>48</v>
      </c>
      <c r="F516" s="10"/>
      <c r="G516" s="9"/>
      <c r="H516" s="10">
        <v>271.60000000000002</v>
      </c>
      <c r="I516" s="12">
        <f>H516*(1-'[1]Discounts page'!D$13)</f>
        <v>162.96</v>
      </c>
      <c r="J516" s="55">
        <f t="shared" si="24"/>
        <v>245</v>
      </c>
    </row>
    <row r="517" spans="1:10" ht="18.75" x14ac:dyDescent="0.3">
      <c r="A517" s="8" t="s">
        <v>73</v>
      </c>
      <c r="B517" s="9" t="s">
        <v>74</v>
      </c>
      <c r="C517" s="9" t="s">
        <v>48</v>
      </c>
      <c r="F517" s="10"/>
      <c r="G517" s="9"/>
      <c r="H517" s="10">
        <v>271.60000000000002</v>
      </c>
      <c r="I517" s="12">
        <f>H517*(1-'[1]Discounts page'!D$13)</f>
        <v>162.96</v>
      </c>
      <c r="J517" s="55">
        <f t="shared" si="24"/>
        <v>245</v>
      </c>
    </row>
    <row r="518" spans="1:10" ht="18.75" x14ac:dyDescent="0.3">
      <c r="A518" s="8" t="s">
        <v>75</v>
      </c>
      <c r="B518" s="9" t="s">
        <v>76</v>
      </c>
      <c r="C518" s="9" t="s">
        <v>48</v>
      </c>
      <c r="F518" s="10"/>
      <c r="G518" s="9"/>
      <c r="H518" s="10">
        <v>317.90000000000003</v>
      </c>
      <c r="I518" s="12">
        <f>H518*(1-'[1]Discounts page'!D$13)</f>
        <v>190.74</v>
      </c>
      <c r="J518" s="55">
        <f t="shared" si="24"/>
        <v>287</v>
      </c>
    </row>
    <row r="519" spans="1:10" ht="18.75" x14ac:dyDescent="0.3">
      <c r="A519" s="8" t="s">
        <v>77</v>
      </c>
      <c r="B519" s="9" t="s">
        <v>78</v>
      </c>
      <c r="C519" s="9" t="s">
        <v>48</v>
      </c>
      <c r="F519" s="10"/>
      <c r="G519" s="9"/>
      <c r="H519" s="10">
        <v>339.40000000000003</v>
      </c>
      <c r="I519" s="12">
        <f>H519*(1-'[1]Discounts page'!D$13)</f>
        <v>203.64000000000001</v>
      </c>
      <c r="J519" s="55">
        <f t="shared" si="24"/>
        <v>306</v>
      </c>
    </row>
    <row r="520" spans="1:10" ht="18.75" x14ac:dyDescent="0.3">
      <c r="A520" s="8" t="s">
        <v>79</v>
      </c>
      <c r="B520" s="9" t="s">
        <v>80</v>
      </c>
      <c r="C520" s="9" t="s">
        <v>48</v>
      </c>
      <c r="F520" s="10"/>
      <c r="G520" s="9"/>
      <c r="H520" s="10">
        <v>294.3</v>
      </c>
      <c r="I520" s="12">
        <f>H520*(1-'[1]Discounts page'!D$13)</f>
        <v>176.58</v>
      </c>
      <c r="J520" s="55">
        <f t="shared" si="24"/>
        <v>265</v>
      </c>
    </row>
    <row r="521" spans="1:10" ht="18.75" x14ac:dyDescent="0.3">
      <c r="A521" s="8" t="s">
        <v>81</v>
      </c>
      <c r="B521" s="9" t="s">
        <v>82</v>
      </c>
      <c r="C521" s="9" t="s">
        <v>48</v>
      </c>
      <c r="F521" s="10"/>
      <c r="G521" s="9"/>
      <c r="H521" s="10">
        <v>294.3</v>
      </c>
      <c r="I521" s="12">
        <f>H521*(1-'[1]Discounts page'!D$13)</f>
        <v>176.58</v>
      </c>
      <c r="J521" s="55">
        <f t="shared" si="24"/>
        <v>265</v>
      </c>
    </row>
    <row r="522" spans="1:10" ht="18.75" x14ac:dyDescent="0.3">
      <c r="A522" s="8" t="s">
        <v>83</v>
      </c>
      <c r="B522" s="9" t="s">
        <v>84</v>
      </c>
      <c r="C522" s="9" t="s">
        <v>48</v>
      </c>
      <c r="F522" s="10"/>
      <c r="G522" s="9"/>
      <c r="H522" s="10">
        <v>294.3</v>
      </c>
      <c r="I522" s="12">
        <f>H522*(1-'[1]Discounts page'!D$13)</f>
        <v>176.58</v>
      </c>
      <c r="J522" s="55">
        <f t="shared" si="24"/>
        <v>265</v>
      </c>
    </row>
    <row r="523" spans="1:10" ht="18.75" x14ac:dyDescent="0.3">
      <c r="A523" s="8" t="s">
        <v>85</v>
      </c>
      <c r="B523" s="9" t="s">
        <v>86</v>
      </c>
      <c r="C523" s="9" t="s">
        <v>48</v>
      </c>
      <c r="F523" s="10"/>
      <c r="G523" s="9"/>
      <c r="H523" s="10">
        <v>380.3</v>
      </c>
      <c r="I523" s="12">
        <f>H523*(1-'[1]Discounts page'!D$13)</f>
        <v>228.18</v>
      </c>
      <c r="J523" s="55">
        <f t="shared" si="24"/>
        <v>343</v>
      </c>
    </row>
    <row r="524" spans="1:10" ht="18.75" x14ac:dyDescent="0.3">
      <c r="A524" s="8" t="s">
        <v>87</v>
      </c>
      <c r="B524" s="9" t="s">
        <v>88</v>
      </c>
      <c r="C524" s="9" t="s">
        <v>48</v>
      </c>
      <c r="F524" s="10"/>
      <c r="G524" s="9"/>
      <c r="H524" s="10">
        <v>372.5</v>
      </c>
      <c r="I524" s="12">
        <f>H524*(1-'[1]Discounts page'!D$13)</f>
        <v>223.5</v>
      </c>
      <c r="J524" s="55">
        <f t="shared" si="24"/>
        <v>336</v>
      </c>
    </row>
    <row r="525" spans="1:10" ht="18.75" x14ac:dyDescent="0.3">
      <c r="A525" s="8" t="s">
        <v>89</v>
      </c>
      <c r="B525" s="9" t="s">
        <v>90</v>
      </c>
      <c r="C525" s="9" t="s">
        <v>48</v>
      </c>
      <c r="F525" s="10"/>
      <c r="G525" s="9"/>
      <c r="H525" s="10">
        <v>372.5</v>
      </c>
      <c r="I525" s="12">
        <f>H525*(1-'[1]Discounts page'!D$13)</f>
        <v>223.5</v>
      </c>
      <c r="J525" s="55">
        <f t="shared" si="24"/>
        <v>336</v>
      </c>
    </row>
    <row r="526" spans="1:10" ht="18.75" x14ac:dyDescent="0.3">
      <c r="A526" s="8" t="s">
        <v>91</v>
      </c>
      <c r="B526" s="9" t="s">
        <v>92</v>
      </c>
      <c r="C526" s="9" t="s">
        <v>48</v>
      </c>
      <c r="F526" s="10"/>
      <c r="G526" s="9"/>
      <c r="H526" s="10">
        <v>452.1</v>
      </c>
      <c r="I526" s="12">
        <f>H526*(1-'[1]Discounts page'!D$13)</f>
        <v>271.26</v>
      </c>
      <c r="J526" s="55">
        <f t="shared" si="24"/>
        <v>407</v>
      </c>
    </row>
    <row r="527" spans="1:10" ht="18.75" x14ac:dyDescent="0.3">
      <c r="A527" s="8" t="s">
        <v>93</v>
      </c>
      <c r="B527" s="9" t="s">
        <v>94</v>
      </c>
      <c r="C527" s="9" t="s">
        <v>48</v>
      </c>
      <c r="F527" s="10"/>
      <c r="G527" s="9"/>
      <c r="H527" s="10">
        <v>473.3</v>
      </c>
      <c r="I527" s="12">
        <f>H527*(1-'[1]Discounts page'!D$13)</f>
        <v>283.98</v>
      </c>
      <c r="J527" s="55">
        <f t="shared" si="24"/>
        <v>426</v>
      </c>
    </row>
    <row r="528" spans="1:10" ht="18.75" x14ac:dyDescent="0.3">
      <c r="A528" s="8" t="s">
        <v>95</v>
      </c>
      <c r="B528" s="9" t="s">
        <v>96</v>
      </c>
      <c r="C528" s="9" t="s">
        <v>48</v>
      </c>
      <c r="F528" s="10"/>
      <c r="G528" s="9"/>
      <c r="H528" s="10">
        <v>426.90000000000003</v>
      </c>
      <c r="I528" s="12">
        <f>H528*(1-'[1]Discounts page'!D$13)</f>
        <v>256.14</v>
      </c>
      <c r="J528" s="55">
        <f t="shared" si="24"/>
        <v>385</v>
      </c>
    </row>
    <row r="529" spans="1:10" ht="18.75" x14ac:dyDescent="0.3">
      <c r="A529" s="8" t="s">
        <v>97</v>
      </c>
      <c r="B529" s="9" t="s">
        <v>98</v>
      </c>
      <c r="C529" s="9" t="s">
        <v>48</v>
      </c>
      <c r="F529" s="10"/>
      <c r="G529" s="9"/>
      <c r="H529" s="10">
        <v>426.90000000000003</v>
      </c>
      <c r="I529" s="12">
        <f>H529*(1-'[1]Discounts page'!D$13)</f>
        <v>256.14</v>
      </c>
      <c r="J529" s="55">
        <f t="shared" si="24"/>
        <v>385</v>
      </c>
    </row>
    <row r="530" spans="1:10" ht="18.75" x14ac:dyDescent="0.3">
      <c r="A530" s="8" t="s">
        <v>99</v>
      </c>
      <c r="B530" s="9" t="s">
        <v>100</v>
      </c>
      <c r="C530" s="9" t="s">
        <v>48</v>
      </c>
      <c r="F530" s="10"/>
      <c r="G530" s="9"/>
      <c r="H530" s="10">
        <v>494.90000000000003</v>
      </c>
      <c r="I530" s="12">
        <f>H530*(1-'[1]Discounts page'!D$13)</f>
        <v>296.94</v>
      </c>
      <c r="J530" s="55">
        <f t="shared" si="24"/>
        <v>446</v>
      </c>
    </row>
    <row r="531" spans="1:10" ht="18.75" x14ac:dyDescent="0.3">
      <c r="A531" s="8" t="s">
        <v>101</v>
      </c>
      <c r="B531" s="9" t="s">
        <v>102</v>
      </c>
      <c r="C531" s="9" t="s">
        <v>48</v>
      </c>
      <c r="F531" s="10"/>
      <c r="G531" s="9"/>
      <c r="H531" s="10">
        <v>494.90000000000003</v>
      </c>
      <c r="I531" s="12">
        <f>H531*(1-'[1]Discounts page'!D$13)</f>
        <v>296.94</v>
      </c>
      <c r="J531" s="55">
        <f t="shared" si="24"/>
        <v>446</v>
      </c>
    </row>
    <row r="532" spans="1:10" ht="18.75" x14ac:dyDescent="0.3">
      <c r="A532" s="8" t="s">
        <v>103</v>
      </c>
      <c r="B532" s="9" t="s">
        <v>104</v>
      </c>
      <c r="C532" s="9" t="s">
        <v>48</v>
      </c>
      <c r="F532" s="10"/>
      <c r="G532" s="9"/>
      <c r="H532" s="10">
        <v>578.70000000000005</v>
      </c>
      <c r="I532" s="12">
        <f>H532*(1-'[1]Discounts page'!D$13)</f>
        <v>347.22</v>
      </c>
      <c r="J532" s="55">
        <f t="shared" si="24"/>
        <v>521</v>
      </c>
    </row>
    <row r="533" spans="1:10" ht="18.75" x14ac:dyDescent="0.3">
      <c r="A533" s="8" t="s">
        <v>105</v>
      </c>
      <c r="B533" s="9" t="s">
        <v>106</v>
      </c>
      <c r="C533" s="9" t="s">
        <v>48</v>
      </c>
      <c r="F533" s="10"/>
      <c r="G533" s="9"/>
      <c r="H533" s="10">
        <v>623</v>
      </c>
      <c r="I533" s="12">
        <f>H533*(1-'[1]Discounts page'!D$13)</f>
        <v>373.8</v>
      </c>
      <c r="J533" s="55">
        <f t="shared" si="24"/>
        <v>561</v>
      </c>
    </row>
    <row r="534" spans="1:10" ht="18.75" x14ac:dyDescent="0.3">
      <c r="A534" s="8" t="s">
        <v>107</v>
      </c>
      <c r="B534" s="9" t="s">
        <v>108</v>
      </c>
      <c r="C534" s="9" t="s">
        <v>48</v>
      </c>
      <c r="F534" s="10"/>
      <c r="G534" s="9"/>
      <c r="H534" s="10">
        <v>652.5</v>
      </c>
      <c r="I534" s="12">
        <f>H534*(1-'[1]Discounts page'!D$13)</f>
        <v>391.5</v>
      </c>
      <c r="J534" s="55">
        <f t="shared" si="24"/>
        <v>588</v>
      </c>
    </row>
    <row r="535" spans="1:10" ht="18.75" x14ac:dyDescent="0.3">
      <c r="A535" s="8" t="s">
        <v>109</v>
      </c>
      <c r="B535" s="9" t="s">
        <v>110</v>
      </c>
      <c r="C535" s="9" t="s">
        <v>48</v>
      </c>
      <c r="F535" s="10"/>
      <c r="G535" s="9"/>
      <c r="H535" s="10">
        <v>652.5</v>
      </c>
      <c r="I535" s="12">
        <f>H535*(1-'[1]Discounts page'!D$13)</f>
        <v>391.5</v>
      </c>
      <c r="J535" s="55">
        <f t="shared" si="24"/>
        <v>588</v>
      </c>
    </row>
    <row r="536" spans="1:10" ht="18.75" x14ac:dyDescent="0.3">
      <c r="A536" s="8" t="s">
        <v>111</v>
      </c>
      <c r="B536" s="9" t="s">
        <v>112</v>
      </c>
      <c r="C536" s="9" t="s">
        <v>48</v>
      </c>
      <c r="F536" s="10"/>
      <c r="G536" s="9"/>
      <c r="H536" s="10">
        <v>854.30000000000007</v>
      </c>
      <c r="I536" s="12">
        <f>H536*(1-'[1]Discounts page'!D$13)</f>
        <v>512.58000000000004</v>
      </c>
      <c r="J536" s="55">
        <f t="shared" si="24"/>
        <v>769</v>
      </c>
    </row>
    <row r="537" spans="1:10" ht="18.75" x14ac:dyDescent="0.3">
      <c r="A537" s="8" t="s">
        <v>113</v>
      </c>
      <c r="B537" s="9" t="s">
        <v>114</v>
      </c>
      <c r="C537" s="9" t="s">
        <v>48</v>
      </c>
      <c r="F537" s="10"/>
      <c r="G537" s="9"/>
      <c r="H537" s="10">
        <v>918.1</v>
      </c>
      <c r="I537" s="12">
        <f>H537*(1-'[1]Discounts page'!D$13)</f>
        <v>550.86</v>
      </c>
      <c r="J537" s="55">
        <f t="shared" si="24"/>
        <v>827</v>
      </c>
    </row>
    <row r="538" spans="1:10" ht="18.75" x14ac:dyDescent="0.3">
      <c r="A538" s="8" t="s">
        <v>115</v>
      </c>
      <c r="B538" s="9" t="s">
        <v>116</v>
      </c>
      <c r="C538" s="9" t="s">
        <v>48</v>
      </c>
      <c r="F538" s="10"/>
      <c r="G538" s="9"/>
      <c r="H538" s="10">
        <v>1109.1999999999998</v>
      </c>
      <c r="I538" s="12">
        <f>H538*(1-'[1]Discounts page'!D$13)</f>
        <v>665.51999999999987</v>
      </c>
      <c r="J538" s="55">
        <f t="shared" si="24"/>
        <v>999</v>
      </c>
    </row>
    <row r="539" spans="1:10" ht="18.75" x14ac:dyDescent="0.3">
      <c r="A539" s="8" t="s">
        <v>117</v>
      </c>
      <c r="B539" s="9" t="s">
        <v>118</v>
      </c>
      <c r="C539" s="9" t="s">
        <v>48</v>
      </c>
      <c r="F539" s="10"/>
      <c r="G539" s="9"/>
      <c r="H539" s="10">
        <v>1271.5</v>
      </c>
      <c r="I539" s="12">
        <f>H539*(1-'[1]Discounts page'!D$13)</f>
        <v>762.9</v>
      </c>
      <c r="J539" s="55">
        <f t="shared" si="24"/>
        <v>1145</v>
      </c>
    </row>
    <row r="540" spans="1:10" ht="18.75" x14ac:dyDescent="0.3">
      <c r="A540" s="8" t="s">
        <v>119</v>
      </c>
      <c r="B540" s="9" t="s">
        <v>120</v>
      </c>
      <c r="C540" s="9" t="s">
        <v>48</v>
      </c>
      <c r="F540" s="10"/>
      <c r="G540" s="9"/>
      <c r="H540" s="10">
        <v>1313.8999999999999</v>
      </c>
      <c r="I540" s="12">
        <f>H540*(1-'[1]Discounts page'!D$13)</f>
        <v>788.33999999999992</v>
      </c>
      <c r="J540" s="55">
        <f t="shared" si="24"/>
        <v>1183</v>
      </c>
    </row>
    <row r="541" spans="1:10" ht="18.75" x14ac:dyDescent="0.3">
      <c r="A541" s="8" t="s">
        <v>121</v>
      </c>
      <c r="B541" s="9" t="s">
        <v>122</v>
      </c>
      <c r="C541" s="9" t="s">
        <v>48</v>
      </c>
      <c r="F541" s="10"/>
      <c r="G541" s="9"/>
      <c r="H541" s="10">
        <v>1608.3</v>
      </c>
      <c r="I541" s="12">
        <f>H541*(1-'[1]Discounts page'!D$13)</f>
        <v>964.9799999999999</v>
      </c>
      <c r="J541" s="55">
        <f t="shared" si="24"/>
        <v>1448</v>
      </c>
    </row>
    <row r="542" spans="1:10" ht="18.75" x14ac:dyDescent="0.3">
      <c r="A542" s="20" t="s">
        <v>123</v>
      </c>
      <c r="B542" s="9"/>
      <c r="C542" s="9"/>
      <c r="F542" s="10"/>
      <c r="G542" s="9"/>
      <c r="H542" s="10"/>
      <c r="I542" s="12"/>
      <c r="J542" s="55">
        <f t="shared" si="24"/>
        <v>0</v>
      </c>
    </row>
    <row r="543" spans="1:10" ht="18.75" x14ac:dyDescent="0.3">
      <c r="A543" s="8" t="s">
        <v>124</v>
      </c>
      <c r="B543" s="9" t="s">
        <v>125</v>
      </c>
      <c r="C543" s="9" t="s">
        <v>126</v>
      </c>
      <c r="F543" s="10"/>
      <c r="G543" s="9"/>
      <c r="H543" s="10">
        <v>192.4</v>
      </c>
      <c r="I543" s="12">
        <f>H543*(1-'[1]Discounts page'!D$12)</f>
        <v>105.82000000000001</v>
      </c>
      <c r="J543" s="55">
        <f t="shared" si="24"/>
        <v>159</v>
      </c>
    </row>
    <row r="544" spans="1:10" ht="18.75" x14ac:dyDescent="0.3">
      <c r="A544" s="8" t="s">
        <v>127</v>
      </c>
      <c r="B544" s="9" t="s">
        <v>128</v>
      </c>
      <c r="C544" s="9" t="s">
        <v>126</v>
      </c>
      <c r="F544" s="10"/>
      <c r="G544" s="9"/>
      <c r="H544" s="10">
        <v>192.4</v>
      </c>
      <c r="I544" s="12">
        <f>H544*(1-'[1]Discounts page'!D$12)</f>
        <v>105.82000000000001</v>
      </c>
      <c r="J544" s="55">
        <f t="shared" si="24"/>
        <v>159</v>
      </c>
    </row>
    <row r="545" spans="1:10" ht="18.75" x14ac:dyDescent="0.3">
      <c r="A545" s="8" t="s">
        <v>129</v>
      </c>
      <c r="B545" s="9" t="s">
        <v>130</v>
      </c>
      <c r="C545" s="9" t="s">
        <v>126</v>
      </c>
      <c r="F545" s="10"/>
      <c r="G545" s="9"/>
      <c r="H545" s="10">
        <v>210.29999999999998</v>
      </c>
      <c r="I545" s="12">
        <f>H545*(1-'[1]Discounts page'!D$12)</f>
        <v>115.66500000000001</v>
      </c>
      <c r="J545" s="55">
        <f t="shared" si="24"/>
        <v>174</v>
      </c>
    </row>
    <row r="546" spans="1:10" ht="18.75" x14ac:dyDescent="0.3">
      <c r="A546" s="8" t="s">
        <v>131</v>
      </c>
      <c r="B546" s="9" t="s">
        <v>132</v>
      </c>
      <c r="C546" s="9" t="s">
        <v>126</v>
      </c>
      <c r="F546" s="10"/>
      <c r="G546" s="9"/>
      <c r="H546" s="10">
        <v>227.6</v>
      </c>
      <c r="I546" s="12">
        <f>H546*(1-'[1]Discounts page'!D$12)</f>
        <v>125.18</v>
      </c>
      <c r="J546" s="55">
        <f t="shared" si="24"/>
        <v>188</v>
      </c>
    </row>
    <row r="547" spans="1:10" ht="18.75" x14ac:dyDescent="0.3">
      <c r="A547" s="8" t="s">
        <v>133</v>
      </c>
      <c r="B547" s="9" t="s">
        <v>134</v>
      </c>
      <c r="C547" s="9" t="s">
        <v>126</v>
      </c>
      <c r="F547" s="10"/>
      <c r="G547" s="9"/>
      <c r="H547" s="10">
        <v>227.6</v>
      </c>
      <c r="I547" s="12">
        <f>H547*(1-'[1]Discounts page'!D$12)</f>
        <v>125.18</v>
      </c>
      <c r="J547" s="55">
        <f t="shared" si="24"/>
        <v>188</v>
      </c>
    </row>
    <row r="548" spans="1:10" ht="18.75" x14ac:dyDescent="0.3">
      <c r="A548" s="8" t="s">
        <v>135</v>
      </c>
      <c r="B548" s="9" t="s">
        <v>136</v>
      </c>
      <c r="C548" s="9" t="s">
        <v>126</v>
      </c>
      <c r="F548" s="10"/>
      <c r="G548" s="9"/>
      <c r="H548" s="10">
        <v>227.6</v>
      </c>
      <c r="I548" s="12">
        <f>H548*(1-'[1]Discounts page'!D$12)</f>
        <v>125.18</v>
      </c>
      <c r="J548" s="55">
        <f t="shared" si="24"/>
        <v>188</v>
      </c>
    </row>
    <row r="549" spans="1:10" ht="18.75" x14ac:dyDescent="0.3">
      <c r="A549" s="8" t="s">
        <v>137</v>
      </c>
      <c r="B549" s="9" t="s">
        <v>138</v>
      </c>
      <c r="C549" s="9" t="s">
        <v>126</v>
      </c>
      <c r="F549" s="10"/>
      <c r="G549" s="9"/>
      <c r="H549" s="10">
        <v>243.79999999999998</v>
      </c>
      <c r="I549" s="12">
        <f>H549*(1-'[1]Discounts page'!D$12)</f>
        <v>134.09</v>
      </c>
      <c r="J549" s="55">
        <f t="shared" si="24"/>
        <v>202</v>
      </c>
    </row>
    <row r="550" spans="1:10" ht="18.75" x14ac:dyDescent="0.3">
      <c r="A550" s="8" t="s">
        <v>139</v>
      </c>
      <c r="B550" s="9" t="s">
        <v>140</v>
      </c>
      <c r="C550" s="9" t="s">
        <v>126</v>
      </c>
      <c r="F550" s="10"/>
      <c r="G550" s="9"/>
      <c r="H550" s="10">
        <v>243.79999999999998</v>
      </c>
      <c r="I550" s="12">
        <f>H550*(1-'[1]Discounts page'!D$12)</f>
        <v>134.09</v>
      </c>
      <c r="J550" s="55">
        <f t="shared" si="24"/>
        <v>202</v>
      </c>
    </row>
    <row r="551" spans="1:10" ht="18.75" x14ac:dyDescent="0.3">
      <c r="A551" s="8" t="s">
        <v>141</v>
      </c>
      <c r="B551" s="9" t="s">
        <v>142</v>
      </c>
      <c r="C551" s="9" t="s">
        <v>126</v>
      </c>
      <c r="F551" s="10"/>
      <c r="G551" s="9"/>
      <c r="H551" s="10">
        <v>243.79999999999998</v>
      </c>
      <c r="I551" s="12">
        <f>H551*(1-'[1]Discounts page'!D$12)</f>
        <v>134.09</v>
      </c>
      <c r="J551" s="55">
        <f t="shared" si="24"/>
        <v>202</v>
      </c>
    </row>
    <row r="552" spans="1:10" ht="18.75" x14ac:dyDescent="0.3">
      <c r="A552" s="8" t="s">
        <v>143</v>
      </c>
      <c r="B552" s="9" t="s">
        <v>144</v>
      </c>
      <c r="C552" s="9" t="s">
        <v>126</v>
      </c>
      <c r="F552" s="10"/>
      <c r="G552" s="9"/>
      <c r="H552" s="10">
        <v>276.40000000000003</v>
      </c>
      <c r="I552" s="12">
        <f>H552*(1-'[1]Discounts page'!D$12)</f>
        <v>152.02000000000004</v>
      </c>
      <c r="J552" s="55">
        <f t="shared" si="24"/>
        <v>229</v>
      </c>
    </row>
    <row r="553" spans="1:10" ht="18.75" x14ac:dyDescent="0.3">
      <c r="A553" s="8" t="s">
        <v>145</v>
      </c>
      <c r="B553" s="9" t="s">
        <v>146</v>
      </c>
      <c r="C553" s="9" t="s">
        <v>126</v>
      </c>
      <c r="F553" s="10"/>
      <c r="G553" s="9"/>
      <c r="H553" s="10">
        <v>276.40000000000003</v>
      </c>
      <c r="I553" s="12">
        <f>H553*(1-'[1]Discounts page'!D$12)</f>
        <v>152.02000000000004</v>
      </c>
      <c r="J553" s="55">
        <f t="shared" si="24"/>
        <v>229</v>
      </c>
    </row>
    <row r="554" spans="1:10" ht="18.75" x14ac:dyDescent="0.3">
      <c r="A554" s="8" t="s">
        <v>147</v>
      </c>
      <c r="B554" s="9" t="s">
        <v>148</v>
      </c>
      <c r="C554" s="9" t="s">
        <v>126</v>
      </c>
      <c r="F554" s="10"/>
      <c r="G554" s="9"/>
      <c r="H554" s="10">
        <v>295.8</v>
      </c>
      <c r="I554" s="12">
        <f>H554*(1-'[1]Discounts page'!D$12)</f>
        <v>162.69000000000003</v>
      </c>
      <c r="J554" s="55">
        <f t="shared" si="24"/>
        <v>245</v>
      </c>
    </row>
    <row r="555" spans="1:10" ht="18.75" x14ac:dyDescent="0.3">
      <c r="A555" s="8" t="s">
        <v>149</v>
      </c>
      <c r="B555" s="9" t="s">
        <v>150</v>
      </c>
      <c r="C555" s="9" t="s">
        <v>126</v>
      </c>
      <c r="F555" s="10"/>
      <c r="G555" s="9"/>
      <c r="H555" s="10">
        <v>295.8</v>
      </c>
      <c r="I555" s="12">
        <f>H555*(1-'[1]Discounts page'!D$12)</f>
        <v>162.69000000000003</v>
      </c>
      <c r="J555" s="55">
        <f t="shared" si="24"/>
        <v>245</v>
      </c>
    </row>
    <row r="556" spans="1:10" ht="18.75" x14ac:dyDescent="0.3">
      <c r="A556" s="8" t="s">
        <v>151</v>
      </c>
      <c r="B556" s="9" t="s">
        <v>152</v>
      </c>
      <c r="C556" s="9" t="s">
        <v>126</v>
      </c>
      <c r="F556" s="10"/>
      <c r="G556" s="9"/>
      <c r="H556" s="10">
        <v>348.90000000000003</v>
      </c>
      <c r="I556" s="12">
        <f>H556*(1-'[1]Discounts page'!D$12)</f>
        <v>191.89500000000004</v>
      </c>
      <c r="J556" s="55">
        <f t="shared" si="24"/>
        <v>288</v>
      </c>
    </row>
    <row r="557" spans="1:10" ht="18.75" x14ac:dyDescent="0.3">
      <c r="A557" s="8" t="s">
        <v>153</v>
      </c>
      <c r="B557" s="9" t="s">
        <v>154</v>
      </c>
      <c r="C557" s="9" t="s">
        <v>126</v>
      </c>
      <c r="F557" s="10"/>
      <c r="G557" s="9"/>
      <c r="H557" s="10">
        <v>372.20000000000005</v>
      </c>
      <c r="I557" s="12">
        <f>H557*(1-'[1]Discounts page'!D$12)</f>
        <v>204.71000000000004</v>
      </c>
      <c r="J557" s="55">
        <f t="shared" si="24"/>
        <v>308</v>
      </c>
    </row>
    <row r="558" spans="1:10" ht="18.75" x14ac:dyDescent="0.3">
      <c r="A558" s="8" t="s">
        <v>155</v>
      </c>
      <c r="B558" s="9" t="s">
        <v>156</v>
      </c>
      <c r="C558" s="9" t="s">
        <v>126</v>
      </c>
      <c r="F558" s="10"/>
      <c r="G558" s="9"/>
      <c r="H558" s="10">
        <v>372.20000000000005</v>
      </c>
      <c r="I558" s="12">
        <f>H558*(1-'[1]Discounts page'!D$12)</f>
        <v>204.71000000000004</v>
      </c>
      <c r="J558" s="55">
        <f t="shared" si="24"/>
        <v>308</v>
      </c>
    </row>
    <row r="559" spans="1:10" ht="18.75" x14ac:dyDescent="0.3">
      <c r="A559" s="8" t="s">
        <v>157</v>
      </c>
      <c r="B559" s="9" t="s">
        <v>158</v>
      </c>
      <c r="C559" s="9" t="s">
        <v>126</v>
      </c>
      <c r="F559" s="10"/>
      <c r="G559" s="9"/>
      <c r="H559" s="10">
        <v>372.20000000000005</v>
      </c>
      <c r="I559" s="12">
        <f>H559*(1-'[1]Discounts page'!D$12)</f>
        <v>204.71000000000004</v>
      </c>
      <c r="J559" s="55">
        <f t="shared" si="24"/>
        <v>308</v>
      </c>
    </row>
    <row r="560" spans="1:10" ht="18.75" x14ac:dyDescent="0.3">
      <c r="A560" s="8" t="s">
        <v>159</v>
      </c>
      <c r="B560" s="9" t="s">
        <v>160</v>
      </c>
      <c r="C560" s="9" t="s">
        <v>126</v>
      </c>
      <c r="F560" s="10"/>
      <c r="G560" s="9"/>
      <c r="H560" s="10">
        <v>341.1</v>
      </c>
      <c r="I560" s="12">
        <f>H560*(1-'[1]Discounts page'!D$12)</f>
        <v>187.60500000000002</v>
      </c>
      <c r="J560" s="55">
        <f t="shared" si="24"/>
        <v>282</v>
      </c>
    </row>
    <row r="561" spans="1:10" ht="18.75" x14ac:dyDescent="0.3">
      <c r="A561" s="8" t="s">
        <v>161</v>
      </c>
      <c r="B561" s="9" t="s">
        <v>162</v>
      </c>
      <c r="C561" s="9" t="s">
        <v>126</v>
      </c>
      <c r="F561" s="10"/>
      <c r="G561" s="9"/>
      <c r="H561" s="10">
        <v>341.1</v>
      </c>
      <c r="I561" s="12">
        <f>H561*(1-'[1]Discounts page'!D$12)</f>
        <v>187.60500000000002</v>
      </c>
      <c r="J561" s="55">
        <f t="shared" si="24"/>
        <v>282</v>
      </c>
    </row>
    <row r="562" spans="1:10" ht="18.75" x14ac:dyDescent="0.3">
      <c r="A562" s="8" t="s">
        <v>163</v>
      </c>
      <c r="B562" s="9" t="s">
        <v>164</v>
      </c>
      <c r="C562" s="9" t="s">
        <v>126</v>
      </c>
      <c r="F562" s="10"/>
      <c r="G562" s="9"/>
      <c r="H562" s="10">
        <v>341.1</v>
      </c>
      <c r="I562" s="12">
        <f>H562*(1-'[1]Discounts page'!D$12)</f>
        <v>187.60500000000002</v>
      </c>
      <c r="J562" s="55">
        <f t="shared" si="24"/>
        <v>282</v>
      </c>
    </row>
    <row r="563" spans="1:10" ht="18.75" x14ac:dyDescent="0.3">
      <c r="A563" s="8" t="s">
        <v>165</v>
      </c>
      <c r="B563" s="9" t="s">
        <v>166</v>
      </c>
      <c r="C563" s="9" t="s">
        <v>126</v>
      </c>
      <c r="F563" s="10"/>
      <c r="G563" s="9"/>
      <c r="H563" s="10">
        <v>425.5</v>
      </c>
      <c r="I563" s="12">
        <f>H563*(1-'[1]Discounts page'!D$12)</f>
        <v>234.02500000000001</v>
      </c>
      <c r="J563" s="55">
        <f t="shared" si="24"/>
        <v>352</v>
      </c>
    </row>
    <row r="564" spans="1:10" ht="18.75" x14ac:dyDescent="0.3">
      <c r="A564" s="8" t="s">
        <v>167</v>
      </c>
      <c r="B564" s="9" t="s">
        <v>168</v>
      </c>
      <c r="C564" s="9" t="s">
        <v>126</v>
      </c>
      <c r="F564" s="10"/>
      <c r="G564" s="9"/>
      <c r="H564" s="10">
        <v>400</v>
      </c>
      <c r="I564" s="12">
        <f>H564*(1-'[1]Discounts page'!D$12)</f>
        <v>220.00000000000003</v>
      </c>
      <c r="J564" s="55">
        <f t="shared" si="24"/>
        <v>330</v>
      </c>
    </row>
    <row r="565" spans="1:10" ht="18.75" x14ac:dyDescent="0.3">
      <c r="A565" s="8" t="s">
        <v>169</v>
      </c>
      <c r="B565" s="9" t="s">
        <v>170</v>
      </c>
      <c r="C565" s="9" t="s">
        <v>126</v>
      </c>
      <c r="F565" s="10"/>
      <c r="G565" s="9"/>
      <c r="H565" s="10">
        <v>400</v>
      </c>
      <c r="I565" s="12">
        <f>H565*(1-'[1]Discounts page'!D$12)</f>
        <v>220.00000000000003</v>
      </c>
      <c r="J565" s="55">
        <f t="shared" si="24"/>
        <v>330</v>
      </c>
    </row>
    <row r="566" spans="1:10" ht="18.75" x14ac:dyDescent="0.3">
      <c r="A566" s="8" t="s">
        <v>171</v>
      </c>
      <c r="B566" s="9" t="s">
        <v>172</v>
      </c>
      <c r="C566" s="9" t="s">
        <v>126</v>
      </c>
      <c r="F566" s="10"/>
      <c r="G566" s="9"/>
      <c r="H566" s="10">
        <v>495.3</v>
      </c>
      <c r="I566" s="12">
        <f>H566*(1-'[1]Discounts page'!D$12)</f>
        <v>272.41500000000002</v>
      </c>
      <c r="J566" s="55">
        <f t="shared" si="24"/>
        <v>409</v>
      </c>
    </row>
    <row r="567" spans="1:10" ht="18.75" x14ac:dyDescent="0.3">
      <c r="A567" s="8" t="s">
        <v>173</v>
      </c>
      <c r="B567" s="9" t="s">
        <v>174</v>
      </c>
      <c r="C567" s="9" t="s">
        <v>126</v>
      </c>
      <c r="F567" s="10"/>
      <c r="G567" s="9"/>
      <c r="H567" s="10">
        <v>517</v>
      </c>
      <c r="I567" s="12">
        <f>H567*(1-'[1]Discounts page'!D$12)</f>
        <v>284.35000000000002</v>
      </c>
      <c r="J567" s="55">
        <f t="shared" si="24"/>
        <v>427</v>
      </c>
    </row>
    <row r="568" spans="1:10" ht="18.75" x14ac:dyDescent="0.3">
      <c r="A568" s="8" t="s">
        <v>175</v>
      </c>
      <c r="B568" s="9" t="s">
        <v>176</v>
      </c>
      <c r="C568" s="9" t="s">
        <v>126</v>
      </c>
      <c r="F568" s="10"/>
      <c r="G568" s="9"/>
      <c r="H568" s="10">
        <v>462.1</v>
      </c>
      <c r="I568" s="12">
        <f>H568*(1-'[1]Discounts page'!D$12)</f>
        <v>254.15500000000003</v>
      </c>
      <c r="J568" s="55">
        <f t="shared" si="24"/>
        <v>382</v>
      </c>
    </row>
    <row r="569" spans="1:10" ht="18.75" x14ac:dyDescent="0.3">
      <c r="A569" s="8" t="s">
        <v>177</v>
      </c>
      <c r="B569" s="9" t="s">
        <v>178</v>
      </c>
      <c r="C569" s="9" t="s">
        <v>126</v>
      </c>
      <c r="F569" s="10"/>
      <c r="G569" s="9"/>
      <c r="H569" s="10">
        <v>462.1</v>
      </c>
      <c r="I569" s="12">
        <f>H569*(1-'[1]Discounts page'!D$12)</f>
        <v>254.15500000000003</v>
      </c>
      <c r="J569" s="55">
        <f t="shared" ref="J569:J631" si="25">ROUNDUP(I569*1.5,0)</f>
        <v>382</v>
      </c>
    </row>
    <row r="570" spans="1:10" ht="18.75" x14ac:dyDescent="0.3">
      <c r="A570" s="8" t="s">
        <v>179</v>
      </c>
      <c r="B570" s="9" t="s">
        <v>180</v>
      </c>
      <c r="C570" s="9" t="s">
        <v>126</v>
      </c>
      <c r="F570" s="10"/>
      <c r="G570" s="9"/>
      <c r="H570" s="10">
        <v>542.6</v>
      </c>
      <c r="I570" s="12">
        <f>H570*(1-'[1]Discounts page'!D$12)</f>
        <v>298.43000000000006</v>
      </c>
      <c r="J570" s="55">
        <f t="shared" si="25"/>
        <v>448</v>
      </c>
    </row>
    <row r="571" spans="1:10" ht="18.75" x14ac:dyDescent="0.3">
      <c r="A571" s="8" t="s">
        <v>181</v>
      </c>
      <c r="B571" s="9" t="s">
        <v>182</v>
      </c>
      <c r="C571" s="9" t="s">
        <v>126</v>
      </c>
      <c r="F571" s="10"/>
      <c r="G571" s="9"/>
      <c r="H571" s="10">
        <v>542.6</v>
      </c>
      <c r="I571" s="12">
        <f>H571*(1-'[1]Discounts page'!D$12)</f>
        <v>298.43000000000006</v>
      </c>
      <c r="J571" s="55">
        <f t="shared" si="25"/>
        <v>448</v>
      </c>
    </row>
    <row r="572" spans="1:10" ht="18.75" x14ac:dyDescent="0.3">
      <c r="A572" s="8" t="s">
        <v>183</v>
      </c>
      <c r="B572" s="9" t="s">
        <v>184</v>
      </c>
      <c r="C572" s="9" t="s">
        <v>126</v>
      </c>
      <c r="F572" s="10"/>
      <c r="G572" s="9"/>
      <c r="H572" s="10">
        <v>634.30000000000007</v>
      </c>
      <c r="I572" s="12">
        <f>H572*(1-'[1]Discounts page'!D$12)</f>
        <v>348.86500000000007</v>
      </c>
      <c r="J572" s="55">
        <f t="shared" si="25"/>
        <v>524</v>
      </c>
    </row>
    <row r="573" spans="1:10" ht="18.75" x14ac:dyDescent="0.3">
      <c r="A573" s="8" t="s">
        <v>185</v>
      </c>
      <c r="B573" s="9" t="s">
        <v>186</v>
      </c>
      <c r="C573" s="9" t="s">
        <v>126</v>
      </c>
      <c r="F573" s="10"/>
      <c r="G573" s="9"/>
      <c r="H573" s="10">
        <v>683.2</v>
      </c>
      <c r="I573" s="12">
        <f>H573*(1-'[1]Discounts page'!D$12)</f>
        <v>375.76000000000005</v>
      </c>
      <c r="J573" s="55">
        <f t="shared" si="25"/>
        <v>564</v>
      </c>
    </row>
    <row r="574" spans="1:10" ht="18.75" x14ac:dyDescent="0.3">
      <c r="A574" s="8" t="s">
        <v>187</v>
      </c>
      <c r="B574" s="9" t="s">
        <v>188</v>
      </c>
      <c r="C574" s="9" t="s">
        <v>126</v>
      </c>
      <c r="F574" s="10"/>
      <c r="G574" s="9"/>
      <c r="H574" s="10">
        <v>714.80000000000007</v>
      </c>
      <c r="I574" s="12">
        <f>H574*(1-'[1]Discounts page'!D$12)</f>
        <v>393.14000000000004</v>
      </c>
      <c r="J574" s="55">
        <f t="shared" si="25"/>
        <v>590</v>
      </c>
    </row>
    <row r="575" spans="1:10" ht="18.75" x14ac:dyDescent="0.3">
      <c r="A575" s="8" t="s">
        <v>189</v>
      </c>
      <c r="B575" s="9" t="s">
        <v>190</v>
      </c>
      <c r="C575" s="9" t="s">
        <v>126</v>
      </c>
      <c r="F575" s="10"/>
      <c r="G575" s="9"/>
      <c r="H575" s="10">
        <v>714.80000000000007</v>
      </c>
      <c r="I575" s="12">
        <f>H575*(1-'[1]Discounts page'!D$12)</f>
        <v>393.14000000000004</v>
      </c>
      <c r="J575" s="55">
        <f t="shared" si="25"/>
        <v>590</v>
      </c>
    </row>
    <row r="576" spans="1:10" ht="18.75" x14ac:dyDescent="0.3">
      <c r="A576" s="8" t="s">
        <v>191</v>
      </c>
      <c r="B576" s="9" t="s">
        <v>192</v>
      </c>
      <c r="C576" s="9" t="s">
        <v>126</v>
      </c>
      <c r="F576" s="10"/>
      <c r="G576" s="9"/>
      <c r="H576" s="10">
        <v>936.4</v>
      </c>
      <c r="I576" s="12">
        <f>H576*(1-'[1]Discounts page'!D$12)</f>
        <v>515.02</v>
      </c>
      <c r="J576" s="55">
        <f t="shared" si="25"/>
        <v>773</v>
      </c>
    </row>
    <row r="577" spans="1:10" ht="18.75" x14ac:dyDescent="0.3">
      <c r="A577" s="8" t="s">
        <v>193</v>
      </c>
      <c r="B577" s="9" t="s">
        <v>194</v>
      </c>
      <c r="C577" s="9" t="s">
        <v>126</v>
      </c>
      <c r="F577" s="10"/>
      <c r="G577" s="9"/>
      <c r="H577" s="10">
        <v>1005.1</v>
      </c>
      <c r="I577" s="12">
        <f>H577*(1-'[1]Discounts page'!D$12)</f>
        <v>552.80500000000006</v>
      </c>
      <c r="J577" s="55">
        <f t="shared" si="25"/>
        <v>830</v>
      </c>
    </row>
    <row r="578" spans="1:10" ht="18.75" x14ac:dyDescent="0.3">
      <c r="A578" s="8" t="s">
        <v>195</v>
      </c>
      <c r="B578" s="9" t="s">
        <v>196</v>
      </c>
      <c r="C578" s="9" t="s">
        <v>126</v>
      </c>
      <c r="F578" s="10"/>
      <c r="G578" s="9"/>
      <c r="H578" s="10">
        <v>1209.5999999999999</v>
      </c>
      <c r="I578" s="12">
        <f>H578*(1-'[1]Discounts page'!D$12)</f>
        <v>665.28</v>
      </c>
      <c r="J578" s="55">
        <f t="shared" si="25"/>
        <v>998</v>
      </c>
    </row>
    <row r="579" spans="1:10" ht="18.75" x14ac:dyDescent="0.3">
      <c r="A579" s="8" t="s">
        <v>197</v>
      </c>
      <c r="B579" s="9" t="s">
        <v>198</v>
      </c>
      <c r="C579" s="9" t="s">
        <v>126</v>
      </c>
      <c r="F579" s="10"/>
      <c r="G579" s="9"/>
      <c r="H579" s="10">
        <v>1395.5</v>
      </c>
      <c r="I579" s="12">
        <f>H579*(1-'[1]Discounts page'!D$12)</f>
        <v>767.52500000000009</v>
      </c>
      <c r="J579" s="55">
        <f t="shared" si="25"/>
        <v>1152</v>
      </c>
    </row>
    <row r="580" spans="1:10" ht="18.75" x14ac:dyDescent="0.3">
      <c r="A580" s="8" t="s">
        <v>199</v>
      </c>
      <c r="B580" s="9" t="s">
        <v>200</v>
      </c>
      <c r="C580" s="9" t="s">
        <v>126</v>
      </c>
      <c r="F580" s="10"/>
      <c r="G580" s="9"/>
      <c r="H580" s="10">
        <v>1776.6</v>
      </c>
      <c r="I580" s="12">
        <f>H580*(1-'[1]Discounts page'!D$12)</f>
        <v>977.13</v>
      </c>
      <c r="J580" s="55">
        <f t="shared" si="25"/>
        <v>1466</v>
      </c>
    </row>
    <row r="581" spans="1:10" ht="18.75" x14ac:dyDescent="0.3">
      <c r="A581" s="20" t="s">
        <v>201</v>
      </c>
      <c r="B581" s="16"/>
      <c r="C581" s="20"/>
      <c r="F581" s="10"/>
      <c r="G581" s="9"/>
      <c r="H581" s="10"/>
      <c r="I581" s="12"/>
      <c r="J581" s="55"/>
    </row>
    <row r="582" spans="1:10" ht="18.75" x14ac:dyDescent="0.3">
      <c r="A582" s="20" t="s">
        <v>45</v>
      </c>
      <c r="B582" s="9"/>
      <c r="C582" s="9"/>
      <c r="F582" s="10"/>
      <c r="G582" s="9"/>
      <c r="H582" s="10"/>
      <c r="I582" s="12"/>
      <c r="J582" s="55"/>
    </row>
    <row r="583" spans="1:10" ht="18.75" x14ac:dyDescent="0.3">
      <c r="A583" s="8" t="s">
        <v>202</v>
      </c>
      <c r="B583" s="9" t="s">
        <v>203</v>
      </c>
      <c r="C583" s="9" t="s">
        <v>48</v>
      </c>
      <c r="F583" s="10"/>
      <c r="G583" s="9"/>
      <c r="H583" s="10">
        <v>288.20000000000005</v>
      </c>
      <c r="I583" s="12">
        <f>H583*(1-'[1]Discounts page'!D$13)</f>
        <v>172.92000000000002</v>
      </c>
      <c r="J583" s="55">
        <f t="shared" si="25"/>
        <v>260</v>
      </c>
    </row>
    <row r="584" spans="1:10" ht="18.75" x14ac:dyDescent="0.3">
      <c r="A584" s="8" t="s">
        <v>204</v>
      </c>
      <c r="B584" s="9" t="s">
        <v>205</v>
      </c>
      <c r="C584" s="9" t="s">
        <v>48</v>
      </c>
      <c r="F584" s="10"/>
      <c r="G584" s="9"/>
      <c r="H584" s="10">
        <v>288.20000000000005</v>
      </c>
      <c r="I584" s="12">
        <f>H584*(1-'[1]Discounts page'!D$13)</f>
        <v>172.92000000000002</v>
      </c>
      <c r="J584" s="55">
        <f t="shared" si="25"/>
        <v>260</v>
      </c>
    </row>
    <row r="585" spans="1:10" ht="18.75" x14ac:dyDescent="0.3">
      <c r="A585" s="8" t="s">
        <v>206</v>
      </c>
      <c r="B585" s="9" t="s">
        <v>207</v>
      </c>
      <c r="C585" s="9" t="s">
        <v>48</v>
      </c>
      <c r="F585" s="10"/>
      <c r="G585" s="9"/>
      <c r="H585" s="10">
        <v>339.90000000000003</v>
      </c>
      <c r="I585" s="12">
        <f>H585*(1-'[1]Discounts page'!D$13)</f>
        <v>203.94000000000003</v>
      </c>
      <c r="J585" s="55">
        <f t="shared" si="25"/>
        <v>306</v>
      </c>
    </row>
    <row r="586" spans="1:10" ht="18.75" x14ac:dyDescent="0.3">
      <c r="A586" s="8" t="s">
        <v>208</v>
      </c>
      <c r="B586" s="9" t="s">
        <v>209</v>
      </c>
      <c r="C586" s="9" t="s">
        <v>48</v>
      </c>
      <c r="F586" s="10"/>
      <c r="G586" s="9"/>
      <c r="H586" s="10">
        <v>339.90000000000003</v>
      </c>
      <c r="I586" s="12">
        <f>H586*(1-'[1]Discounts page'!D$13)</f>
        <v>203.94000000000003</v>
      </c>
      <c r="J586" s="55">
        <f t="shared" si="25"/>
        <v>306</v>
      </c>
    </row>
    <row r="587" spans="1:10" ht="18.75" x14ac:dyDescent="0.3">
      <c r="A587" s="8" t="s">
        <v>210</v>
      </c>
      <c r="B587" s="9" t="s">
        <v>211</v>
      </c>
      <c r="C587" s="9" t="s">
        <v>48</v>
      </c>
      <c r="F587" s="10"/>
      <c r="G587" s="9"/>
      <c r="H587" s="10">
        <v>398.1</v>
      </c>
      <c r="I587" s="12">
        <f>H587*(1-'[1]Discounts page'!D$13)</f>
        <v>238.86</v>
      </c>
      <c r="J587" s="55">
        <f t="shared" si="25"/>
        <v>359</v>
      </c>
    </row>
    <row r="588" spans="1:10" ht="18.75" x14ac:dyDescent="0.3">
      <c r="A588" s="8" t="s">
        <v>212</v>
      </c>
      <c r="B588" s="9" t="s">
        <v>213</v>
      </c>
      <c r="C588" s="9" t="s">
        <v>48</v>
      </c>
      <c r="F588" s="10"/>
      <c r="G588" s="9"/>
      <c r="H588" s="10">
        <v>398.1</v>
      </c>
      <c r="I588" s="12">
        <f>H588*(1-'[1]Discounts page'!D$13)</f>
        <v>238.86</v>
      </c>
      <c r="J588" s="55">
        <f t="shared" si="25"/>
        <v>359</v>
      </c>
    </row>
    <row r="589" spans="1:10" ht="18.75" x14ac:dyDescent="0.3">
      <c r="A589" s="8" t="s">
        <v>214</v>
      </c>
      <c r="B589" s="9" t="s">
        <v>215</v>
      </c>
      <c r="C589" s="9" t="s">
        <v>48</v>
      </c>
      <c r="F589" s="10"/>
      <c r="G589" s="9"/>
      <c r="H589" s="10">
        <v>436.5</v>
      </c>
      <c r="I589" s="12">
        <f>H589*(1-'[1]Discounts page'!D$13)</f>
        <v>261.89999999999998</v>
      </c>
      <c r="J589" s="55">
        <f t="shared" si="25"/>
        <v>393</v>
      </c>
    </row>
    <row r="590" spans="1:10" ht="18.75" x14ac:dyDescent="0.3">
      <c r="A590" s="8" t="s">
        <v>216</v>
      </c>
      <c r="B590" s="9" t="s">
        <v>217</v>
      </c>
      <c r="C590" s="9" t="s">
        <v>48</v>
      </c>
      <c r="F590" s="10"/>
      <c r="G590" s="9"/>
      <c r="H590" s="10">
        <v>436.5</v>
      </c>
      <c r="I590" s="12">
        <f>H590*(1-'[1]Discounts page'!D$13)</f>
        <v>261.89999999999998</v>
      </c>
      <c r="J590" s="55">
        <f t="shared" si="25"/>
        <v>393</v>
      </c>
    </row>
    <row r="591" spans="1:10" ht="18.75" x14ac:dyDescent="0.3">
      <c r="A591" s="8" t="s">
        <v>218</v>
      </c>
      <c r="B591" s="9" t="s">
        <v>219</v>
      </c>
      <c r="C591" s="9" t="s">
        <v>48</v>
      </c>
      <c r="F591" s="10"/>
      <c r="G591" s="9"/>
      <c r="H591" s="10">
        <v>436.5</v>
      </c>
      <c r="I591" s="12">
        <f>H591*(1-'[1]Discounts page'!D$13)</f>
        <v>261.89999999999998</v>
      </c>
      <c r="J591" s="55">
        <f t="shared" si="25"/>
        <v>393</v>
      </c>
    </row>
    <row r="592" spans="1:10" ht="18.75" x14ac:dyDescent="0.3">
      <c r="A592" s="8" t="s">
        <v>220</v>
      </c>
      <c r="B592" s="9" t="s">
        <v>221</v>
      </c>
      <c r="C592" s="9" t="s">
        <v>48</v>
      </c>
      <c r="F592" s="10"/>
      <c r="G592" s="9"/>
      <c r="H592" s="10">
        <v>522.6</v>
      </c>
      <c r="I592" s="12">
        <f>H592*(1-'[1]Discounts page'!D$13)</f>
        <v>313.56</v>
      </c>
      <c r="J592" s="55">
        <f t="shared" si="25"/>
        <v>471</v>
      </c>
    </row>
    <row r="593" spans="1:10" ht="18.75" x14ac:dyDescent="0.3">
      <c r="A593" s="8" t="s">
        <v>222</v>
      </c>
      <c r="B593" s="9" t="s">
        <v>223</v>
      </c>
      <c r="C593" s="9" t="s">
        <v>48</v>
      </c>
      <c r="F593" s="10"/>
      <c r="G593" s="9"/>
      <c r="H593" s="10">
        <v>522.6</v>
      </c>
      <c r="I593" s="12">
        <f>H593*(1-'[1]Discounts page'!D$13)</f>
        <v>313.56</v>
      </c>
      <c r="J593" s="55">
        <f t="shared" si="25"/>
        <v>471</v>
      </c>
    </row>
    <row r="594" spans="1:10" ht="18.75" x14ac:dyDescent="0.3">
      <c r="A594" s="8" t="s">
        <v>224</v>
      </c>
      <c r="B594" s="9" t="s">
        <v>225</v>
      </c>
      <c r="C594" s="9" t="s">
        <v>48</v>
      </c>
      <c r="F594" s="10"/>
      <c r="G594" s="9"/>
      <c r="H594" s="10">
        <v>596.80000000000007</v>
      </c>
      <c r="I594" s="12">
        <f>H594*(1-'[1]Discounts page'!D$13)</f>
        <v>358.08000000000004</v>
      </c>
      <c r="J594" s="55">
        <f t="shared" si="25"/>
        <v>538</v>
      </c>
    </row>
    <row r="595" spans="1:10" ht="18.75" x14ac:dyDescent="0.3">
      <c r="A595" s="8" t="s">
        <v>226</v>
      </c>
      <c r="B595" s="9" t="s">
        <v>227</v>
      </c>
      <c r="C595" s="9" t="s">
        <v>48</v>
      </c>
      <c r="F595" s="10"/>
      <c r="G595" s="9"/>
      <c r="H595" s="10">
        <v>620.9</v>
      </c>
      <c r="I595" s="12">
        <f>H595*(1-'[1]Discounts page'!D$13)</f>
        <v>372.53999999999996</v>
      </c>
      <c r="J595" s="55">
        <f t="shared" si="25"/>
        <v>559</v>
      </c>
    </row>
    <row r="596" spans="1:10" ht="18.75" x14ac:dyDescent="0.3">
      <c r="A596" s="8" t="s">
        <v>228</v>
      </c>
      <c r="B596" s="9" t="s">
        <v>229</v>
      </c>
      <c r="C596" s="9" t="s">
        <v>48</v>
      </c>
      <c r="F596" s="10"/>
      <c r="G596" s="9"/>
      <c r="H596" s="10">
        <v>620.9</v>
      </c>
      <c r="I596" s="12">
        <f>H596*(1-'[1]Discounts page'!D$13)</f>
        <v>372.53999999999996</v>
      </c>
      <c r="J596" s="55">
        <f t="shared" si="25"/>
        <v>559</v>
      </c>
    </row>
    <row r="597" spans="1:10" ht="18.75" x14ac:dyDescent="0.3">
      <c r="A597" s="8" t="s">
        <v>230</v>
      </c>
      <c r="B597" s="9" t="s">
        <v>231</v>
      </c>
      <c r="C597" s="9" t="s">
        <v>48</v>
      </c>
      <c r="F597" s="10"/>
      <c r="G597" s="9"/>
      <c r="H597" s="10">
        <v>795.4</v>
      </c>
      <c r="I597" s="12">
        <f>H597*(1-'[1]Discounts page'!D$13)</f>
        <v>477.23999999999995</v>
      </c>
      <c r="J597" s="55">
        <f t="shared" si="25"/>
        <v>716</v>
      </c>
    </row>
    <row r="598" spans="1:10" ht="18.75" x14ac:dyDescent="0.3">
      <c r="A598" s="8" t="s">
        <v>232</v>
      </c>
      <c r="B598" s="9" t="s">
        <v>233</v>
      </c>
      <c r="C598" s="9" t="s">
        <v>48</v>
      </c>
      <c r="F598" s="10"/>
      <c r="G598" s="9"/>
      <c r="H598" s="10">
        <v>896.7</v>
      </c>
      <c r="I598" s="12">
        <f>H598*(1-'[1]Discounts page'!D$13)</f>
        <v>538.02</v>
      </c>
      <c r="J598" s="55">
        <f t="shared" si="25"/>
        <v>808</v>
      </c>
    </row>
    <row r="599" spans="1:10" ht="18.75" x14ac:dyDescent="0.3">
      <c r="A599" s="20" t="s">
        <v>123</v>
      </c>
      <c r="B599" s="9"/>
      <c r="C599" s="9"/>
      <c r="F599" s="10"/>
      <c r="G599" s="9"/>
      <c r="H599" s="10"/>
      <c r="I599" s="12"/>
      <c r="J599" s="55">
        <f t="shared" si="25"/>
        <v>0</v>
      </c>
    </row>
    <row r="600" spans="1:10" ht="18.75" x14ac:dyDescent="0.3">
      <c r="A600" s="8" t="s">
        <v>234</v>
      </c>
      <c r="B600" s="9" t="s">
        <v>134</v>
      </c>
      <c r="C600" s="9" t="s">
        <v>126</v>
      </c>
      <c r="F600" s="10"/>
      <c r="G600" s="9"/>
      <c r="H600" s="10">
        <v>319.10000000000002</v>
      </c>
      <c r="I600" s="12">
        <f>H600*(1-'[1]Discounts page'!D$12)</f>
        <v>175.50500000000002</v>
      </c>
      <c r="J600" s="55">
        <f t="shared" si="25"/>
        <v>264</v>
      </c>
    </row>
    <row r="601" spans="1:10" ht="18.75" x14ac:dyDescent="0.3">
      <c r="A601" s="8" t="s">
        <v>235</v>
      </c>
      <c r="B601" s="9" t="s">
        <v>136</v>
      </c>
      <c r="C601" s="9" t="s">
        <v>126</v>
      </c>
      <c r="F601" s="10"/>
      <c r="G601" s="9"/>
      <c r="H601" s="10">
        <v>319.10000000000002</v>
      </c>
      <c r="I601" s="12">
        <f>H601*(1-'[1]Discounts page'!D$12)</f>
        <v>175.50500000000002</v>
      </c>
      <c r="J601" s="55">
        <f t="shared" si="25"/>
        <v>264</v>
      </c>
    </row>
    <row r="602" spans="1:10" ht="18.75" x14ac:dyDescent="0.3">
      <c r="A602" s="8" t="s">
        <v>236</v>
      </c>
      <c r="B602" s="9" t="s">
        <v>140</v>
      </c>
      <c r="C602" s="9" t="s">
        <v>126</v>
      </c>
      <c r="F602" s="10"/>
      <c r="G602" s="9"/>
      <c r="H602" s="10">
        <v>378.1</v>
      </c>
      <c r="I602" s="12">
        <f>H602*(1-'[1]Discounts page'!D$12)</f>
        <v>207.95500000000004</v>
      </c>
      <c r="J602" s="55">
        <f t="shared" si="25"/>
        <v>312</v>
      </c>
    </row>
    <row r="603" spans="1:10" ht="18.75" x14ac:dyDescent="0.3">
      <c r="A603" s="8" t="s">
        <v>237</v>
      </c>
      <c r="B603" s="9" t="s">
        <v>142</v>
      </c>
      <c r="C603" s="9" t="s">
        <v>126</v>
      </c>
      <c r="F603" s="10"/>
      <c r="G603" s="9"/>
      <c r="H603" s="10">
        <v>378.1</v>
      </c>
      <c r="I603" s="12">
        <f>H603*(1-'[1]Discounts page'!D$12)</f>
        <v>207.95500000000004</v>
      </c>
      <c r="J603" s="55">
        <f t="shared" si="25"/>
        <v>312</v>
      </c>
    </row>
    <row r="604" spans="1:10" ht="18.75" x14ac:dyDescent="0.3">
      <c r="A604" s="8" t="s">
        <v>238</v>
      </c>
      <c r="B604" s="9" t="s">
        <v>148</v>
      </c>
      <c r="C604" s="9" t="s">
        <v>126</v>
      </c>
      <c r="F604" s="10"/>
      <c r="G604" s="9"/>
      <c r="H604" s="10">
        <v>440.90000000000003</v>
      </c>
      <c r="I604" s="12">
        <f>H604*(1-'[1]Discounts page'!D$12)</f>
        <v>242.49500000000003</v>
      </c>
      <c r="J604" s="55">
        <f t="shared" si="25"/>
        <v>364</v>
      </c>
    </row>
    <row r="605" spans="1:10" ht="18.75" x14ac:dyDescent="0.3">
      <c r="A605" s="8" t="s">
        <v>239</v>
      </c>
      <c r="B605" s="9" t="s">
        <v>150</v>
      </c>
      <c r="C605" s="9" t="s">
        <v>126</v>
      </c>
      <c r="F605" s="10"/>
      <c r="G605" s="9"/>
      <c r="H605" s="10">
        <v>440.90000000000003</v>
      </c>
      <c r="I605" s="12">
        <f>H605*(1-'[1]Discounts page'!D$12)</f>
        <v>242.49500000000003</v>
      </c>
      <c r="J605" s="55">
        <f t="shared" si="25"/>
        <v>364</v>
      </c>
    </row>
    <row r="606" spans="1:10" ht="18.75" x14ac:dyDescent="0.3">
      <c r="A606" s="8" t="s">
        <v>240</v>
      </c>
      <c r="B606" s="9" t="s">
        <v>160</v>
      </c>
      <c r="C606" s="9" t="s">
        <v>126</v>
      </c>
      <c r="F606" s="10"/>
      <c r="G606" s="9"/>
      <c r="H606" s="10">
        <v>481.3</v>
      </c>
      <c r="I606" s="12">
        <f>H606*(1-'[1]Discounts page'!D$12)</f>
        <v>264.71500000000003</v>
      </c>
      <c r="J606" s="55">
        <f t="shared" si="25"/>
        <v>398</v>
      </c>
    </row>
    <row r="607" spans="1:10" ht="18.75" x14ac:dyDescent="0.3">
      <c r="A607" s="8" t="s">
        <v>241</v>
      </c>
      <c r="B607" s="9" t="s">
        <v>162</v>
      </c>
      <c r="C607" s="9" t="s">
        <v>126</v>
      </c>
      <c r="F607" s="10"/>
      <c r="G607" s="9"/>
      <c r="H607" s="10">
        <v>481.3</v>
      </c>
      <c r="I607" s="12">
        <f>H607*(1-'[1]Discounts page'!D$12)</f>
        <v>264.71500000000003</v>
      </c>
      <c r="J607" s="55">
        <f t="shared" si="25"/>
        <v>398</v>
      </c>
    </row>
    <row r="608" spans="1:10" ht="18.75" x14ac:dyDescent="0.3">
      <c r="A608" s="8" t="s">
        <v>242</v>
      </c>
      <c r="B608" s="9" t="s">
        <v>164</v>
      </c>
      <c r="C608" s="9" t="s">
        <v>126</v>
      </c>
      <c r="F608" s="10"/>
      <c r="G608" s="9"/>
      <c r="H608" s="10">
        <v>481.3</v>
      </c>
      <c r="I608" s="12">
        <f>H608*(1-'[1]Discounts page'!D$12)</f>
        <v>264.71500000000003</v>
      </c>
      <c r="J608" s="55">
        <f t="shared" si="25"/>
        <v>398</v>
      </c>
    </row>
    <row r="609" spans="1:10" ht="18.75" x14ac:dyDescent="0.3">
      <c r="A609" s="8" t="s">
        <v>243</v>
      </c>
      <c r="B609" s="9" t="s">
        <v>168</v>
      </c>
      <c r="C609" s="9" t="s">
        <v>126</v>
      </c>
      <c r="F609" s="10"/>
      <c r="G609" s="9"/>
      <c r="H609" s="10">
        <v>577</v>
      </c>
      <c r="I609" s="12">
        <f>H609*(1-'[1]Discounts page'!D$12)</f>
        <v>317.35000000000002</v>
      </c>
      <c r="J609" s="55">
        <f t="shared" si="25"/>
        <v>477</v>
      </c>
    </row>
    <row r="610" spans="1:10" ht="18.75" x14ac:dyDescent="0.3">
      <c r="A610" s="8" t="s">
        <v>244</v>
      </c>
      <c r="B610" s="9" t="s">
        <v>170</v>
      </c>
      <c r="C610" s="9" t="s">
        <v>126</v>
      </c>
      <c r="F610" s="10"/>
      <c r="G610" s="9"/>
      <c r="H610" s="10">
        <v>577</v>
      </c>
      <c r="I610" s="12">
        <f>H610*(1-'[1]Discounts page'!D$12)</f>
        <v>317.35000000000002</v>
      </c>
      <c r="J610" s="55">
        <f t="shared" si="25"/>
        <v>477</v>
      </c>
    </row>
    <row r="611" spans="1:10" ht="18.75" x14ac:dyDescent="0.3">
      <c r="A611" s="8" t="s">
        <v>245</v>
      </c>
      <c r="B611" s="9" t="s">
        <v>172</v>
      </c>
      <c r="C611" s="9" t="s">
        <v>126</v>
      </c>
      <c r="F611" s="10"/>
      <c r="G611" s="9"/>
      <c r="H611" s="10">
        <v>659.7</v>
      </c>
      <c r="I611" s="12">
        <f>H611*(1-'[1]Discounts page'!D$12)</f>
        <v>362.83500000000004</v>
      </c>
      <c r="J611" s="55">
        <f t="shared" si="25"/>
        <v>545</v>
      </c>
    </row>
    <row r="612" spans="1:10" ht="18.75" x14ac:dyDescent="0.3">
      <c r="A612" s="8" t="s">
        <v>246</v>
      </c>
      <c r="B612" s="9" t="s">
        <v>176</v>
      </c>
      <c r="C612" s="9" t="s">
        <v>126</v>
      </c>
      <c r="F612" s="10"/>
      <c r="G612" s="9"/>
      <c r="H612" s="10">
        <v>686.1</v>
      </c>
      <c r="I612" s="12">
        <f>H612*(1-'[1]Discounts page'!D$12)</f>
        <v>377.35500000000002</v>
      </c>
      <c r="J612" s="55">
        <f t="shared" si="25"/>
        <v>567</v>
      </c>
    </row>
    <row r="613" spans="1:10" ht="18.75" x14ac:dyDescent="0.3">
      <c r="A613" s="8" t="s">
        <v>247</v>
      </c>
      <c r="B613" s="9" t="s">
        <v>178</v>
      </c>
      <c r="C613" s="9" t="s">
        <v>126</v>
      </c>
      <c r="F613" s="10"/>
      <c r="G613" s="9"/>
      <c r="H613" s="10">
        <v>686.1</v>
      </c>
      <c r="I613" s="12">
        <f>H613*(1-'[1]Discounts page'!D$12)</f>
        <v>377.35500000000002</v>
      </c>
      <c r="J613" s="55">
        <f t="shared" si="25"/>
        <v>567</v>
      </c>
    </row>
    <row r="614" spans="1:10" ht="18.75" x14ac:dyDescent="0.3">
      <c r="A614" s="8" t="s">
        <v>248</v>
      </c>
      <c r="B614" s="9" t="s">
        <v>184</v>
      </c>
      <c r="C614" s="9" t="s">
        <v>126</v>
      </c>
      <c r="F614" s="10"/>
      <c r="G614" s="9"/>
      <c r="H614" s="10">
        <v>881.2</v>
      </c>
      <c r="I614" s="12">
        <f>H614*(1-'[1]Discounts page'!D$12)</f>
        <v>484.66000000000008</v>
      </c>
      <c r="J614" s="55">
        <f t="shared" si="25"/>
        <v>727</v>
      </c>
    </row>
    <row r="615" spans="1:10" ht="18.75" x14ac:dyDescent="0.3">
      <c r="A615" s="8" t="s">
        <v>249</v>
      </c>
      <c r="B615" s="9" t="s">
        <v>188</v>
      </c>
      <c r="C615" s="9" t="s">
        <v>126</v>
      </c>
      <c r="F615" s="10"/>
      <c r="G615" s="9"/>
      <c r="H615" s="10">
        <v>994.4</v>
      </c>
      <c r="I615" s="12">
        <f>H615*(1-'[1]Discounts page'!D$12)</f>
        <v>546.92000000000007</v>
      </c>
      <c r="J615" s="55">
        <f t="shared" si="25"/>
        <v>821</v>
      </c>
    </row>
    <row r="616" spans="1:10" ht="18.75" x14ac:dyDescent="0.3">
      <c r="A616" s="20" t="s">
        <v>250</v>
      </c>
      <c r="B616" s="9"/>
      <c r="C616" s="9"/>
      <c r="F616" s="10"/>
      <c r="G616" s="9"/>
      <c r="H616" s="10"/>
      <c r="I616" s="12"/>
      <c r="J616" s="55">
        <f t="shared" si="25"/>
        <v>0</v>
      </c>
    </row>
    <row r="617" spans="1:10" ht="18.75" x14ac:dyDescent="0.3">
      <c r="A617" s="8" t="s">
        <v>251</v>
      </c>
      <c r="B617" s="9" t="s">
        <v>252</v>
      </c>
      <c r="C617" s="9" t="s">
        <v>126</v>
      </c>
      <c r="F617" s="10"/>
      <c r="G617" s="9"/>
      <c r="H617" s="10">
        <v>114.8</v>
      </c>
      <c r="I617" s="12">
        <f>H617*(1-'[1]Discounts page'!D$12)</f>
        <v>63.14</v>
      </c>
      <c r="J617" s="55">
        <f t="shared" si="25"/>
        <v>95</v>
      </c>
    </row>
    <row r="618" spans="1:10" ht="18.75" x14ac:dyDescent="0.3">
      <c r="A618" s="8" t="s">
        <v>253</v>
      </c>
      <c r="B618" s="9" t="s">
        <v>254</v>
      </c>
      <c r="C618" s="9" t="s">
        <v>126</v>
      </c>
      <c r="F618" s="10"/>
      <c r="G618" s="9"/>
      <c r="H618" s="10">
        <v>114.8</v>
      </c>
      <c r="I618" s="12">
        <f>H618*(1-'[1]Discounts page'!D$12)</f>
        <v>63.14</v>
      </c>
      <c r="J618" s="55">
        <f t="shared" si="25"/>
        <v>95</v>
      </c>
    </row>
    <row r="619" spans="1:10" ht="18.75" x14ac:dyDescent="0.3">
      <c r="A619" s="8" t="s">
        <v>255</v>
      </c>
      <c r="B619" s="9" t="s">
        <v>256</v>
      </c>
      <c r="C619" s="9" t="s">
        <v>126</v>
      </c>
      <c r="F619" s="10"/>
      <c r="G619" s="9"/>
      <c r="H619" s="10">
        <v>114.8</v>
      </c>
      <c r="I619" s="12">
        <f>H619*(1-'[1]Discounts page'!D$12)</f>
        <v>63.14</v>
      </c>
      <c r="J619" s="55">
        <f t="shared" si="25"/>
        <v>95</v>
      </c>
    </row>
    <row r="620" spans="1:10" ht="18.75" x14ac:dyDescent="0.3">
      <c r="A620" s="8" t="s">
        <v>257</v>
      </c>
      <c r="B620" s="9" t="s">
        <v>258</v>
      </c>
      <c r="C620" s="9" t="s">
        <v>126</v>
      </c>
      <c r="F620" s="10"/>
      <c r="G620" s="9"/>
      <c r="H620" s="10">
        <v>124.5</v>
      </c>
      <c r="I620" s="12">
        <f>H620*(1-'[1]Discounts page'!D$12)</f>
        <v>68.475000000000009</v>
      </c>
      <c r="J620" s="55">
        <f t="shared" si="25"/>
        <v>103</v>
      </c>
    </row>
    <row r="621" spans="1:10" ht="18.75" x14ac:dyDescent="0.3">
      <c r="A621" s="8" t="s">
        <v>259</v>
      </c>
      <c r="B621" s="9" t="s">
        <v>260</v>
      </c>
      <c r="C621" s="9" t="s">
        <v>126</v>
      </c>
      <c r="F621" s="10"/>
      <c r="G621" s="9"/>
      <c r="H621" s="10">
        <v>124.5</v>
      </c>
      <c r="I621" s="12">
        <f>H621*(1-'[1]Discounts page'!D$12)</f>
        <v>68.475000000000009</v>
      </c>
      <c r="J621" s="55">
        <f t="shared" si="25"/>
        <v>103</v>
      </c>
    </row>
    <row r="622" spans="1:10" ht="18.75" x14ac:dyDescent="0.3">
      <c r="A622" s="8" t="s">
        <v>261</v>
      </c>
      <c r="B622" s="9" t="s">
        <v>262</v>
      </c>
      <c r="C622" s="9" t="s">
        <v>126</v>
      </c>
      <c r="F622" s="10"/>
      <c r="G622" s="9"/>
      <c r="H622" s="10">
        <v>136.5</v>
      </c>
      <c r="I622" s="12">
        <f>H622*(1-'[1]Discounts page'!D$12)</f>
        <v>75.075000000000003</v>
      </c>
      <c r="J622" s="55">
        <f t="shared" si="25"/>
        <v>113</v>
      </c>
    </row>
    <row r="623" spans="1:10" ht="18.75" x14ac:dyDescent="0.3">
      <c r="A623" s="8" t="s">
        <v>263</v>
      </c>
      <c r="B623" s="9" t="s">
        <v>264</v>
      </c>
      <c r="C623" s="9" t="s">
        <v>126</v>
      </c>
      <c r="F623" s="10"/>
      <c r="G623" s="9"/>
      <c r="H623" s="10">
        <v>136.5</v>
      </c>
      <c r="I623" s="12">
        <f>H623*(1-'[1]Discounts page'!D$12)</f>
        <v>75.075000000000003</v>
      </c>
      <c r="J623" s="55">
        <f t="shared" si="25"/>
        <v>113</v>
      </c>
    </row>
    <row r="624" spans="1:10" ht="18.75" x14ac:dyDescent="0.3">
      <c r="A624" s="8" t="s">
        <v>265</v>
      </c>
      <c r="B624" s="9" t="s">
        <v>266</v>
      </c>
      <c r="C624" s="9" t="s">
        <v>126</v>
      </c>
      <c r="F624" s="10"/>
      <c r="G624" s="9"/>
      <c r="H624" s="10">
        <v>197.79999999999998</v>
      </c>
      <c r="I624" s="12">
        <f>H624*(1-'[1]Discounts page'!D$12)</f>
        <v>108.79</v>
      </c>
      <c r="J624" s="55">
        <f t="shared" si="25"/>
        <v>164</v>
      </c>
    </row>
    <row r="625" spans="1:10" ht="18.75" x14ac:dyDescent="0.3">
      <c r="A625" s="8" t="s">
        <v>267</v>
      </c>
      <c r="B625" s="9" t="s">
        <v>268</v>
      </c>
      <c r="C625" s="9" t="s">
        <v>126</v>
      </c>
      <c r="F625" s="10"/>
      <c r="G625" s="9"/>
      <c r="H625" s="10">
        <v>197.79999999999998</v>
      </c>
      <c r="I625" s="12">
        <f>H625*(1-'[1]Discounts page'!D$12)</f>
        <v>108.79</v>
      </c>
      <c r="J625" s="55">
        <f t="shared" si="25"/>
        <v>164</v>
      </c>
    </row>
    <row r="626" spans="1:10" ht="18.75" x14ac:dyDescent="0.3">
      <c r="A626" s="8" t="s">
        <v>269</v>
      </c>
      <c r="B626" s="9" t="s">
        <v>270</v>
      </c>
      <c r="C626" s="9" t="s">
        <v>126</v>
      </c>
      <c r="F626" s="10"/>
      <c r="G626" s="9"/>
      <c r="H626" s="10">
        <v>197.79999999999998</v>
      </c>
      <c r="I626" s="12">
        <f>H626*(1-'[1]Discounts page'!D$12)</f>
        <v>108.79</v>
      </c>
      <c r="J626" s="55">
        <f t="shared" si="25"/>
        <v>164</v>
      </c>
    </row>
    <row r="627" spans="1:10" ht="18.75" x14ac:dyDescent="0.3">
      <c r="A627" s="8" t="s">
        <v>271</v>
      </c>
      <c r="B627" s="9" t="s">
        <v>272</v>
      </c>
      <c r="C627" s="9" t="s">
        <v>126</v>
      </c>
      <c r="F627" s="10"/>
      <c r="G627" s="9"/>
      <c r="H627" s="10">
        <v>248.29999999999998</v>
      </c>
      <c r="I627" s="12">
        <f>H627*(1-'[1]Discounts page'!D$12)</f>
        <v>136.565</v>
      </c>
      <c r="J627" s="55">
        <f t="shared" si="25"/>
        <v>205</v>
      </c>
    </row>
    <row r="628" spans="1:10" ht="18.75" x14ac:dyDescent="0.3">
      <c r="A628" s="8" t="s">
        <v>273</v>
      </c>
      <c r="B628" s="9" t="s">
        <v>274</v>
      </c>
      <c r="C628" s="9" t="s">
        <v>126</v>
      </c>
      <c r="F628" s="10"/>
      <c r="G628" s="9"/>
      <c r="H628" s="10">
        <v>305.20000000000005</v>
      </c>
      <c r="I628" s="12">
        <f>H628*(1-'[1]Discounts page'!D$12)</f>
        <v>167.86000000000004</v>
      </c>
      <c r="J628" s="55">
        <f t="shared" si="25"/>
        <v>252</v>
      </c>
    </row>
    <row r="629" spans="1:10" ht="18.75" x14ac:dyDescent="0.3">
      <c r="A629" s="20" t="s">
        <v>275</v>
      </c>
      <c r="B629" s="9"/>
      <c r="C629" s="9"/>
      <c r="F629" s="10"/>
      <c r="G629" s="9"/>
      <c r="H629" s="10" t="s">
        <v>10</v>
      </c>
      <c r="I629" s="12"/>
      <c r="J629" s="55"/>
    </row>
    <row r="630" spans="1:10" ht="18.75" x14ac:dyDescent="0.3">
      <c r="A630" s="8" t="s">
        <v>276</v>
      </c>
      <c r="B630" s="9" t="s">
        <v>277</v>
      </c>
      <c r="C630" s="9" t="s">
        <v>278</v>
      </c>
      <c r="F630" s="10"/>
      <c r="G630" s="9"/>
      <c r="H630" s="10">
        <v>707.2</v>
      </c>
      <c r="I630" s="12">
        <f>H630*(1-'[1]Discounts page'!D$14)</f>
        <v>565.7600000000001</v>
      </c>
      <c r="J630" s="55">
        <f t="shared" si="25"/>
        <v>849</v>
      </c>
    </row>
    <row r="631" spans="1:10" ht="18.75" x14ac:dyDescent="0.3">
      <c r="A631" s="8" t="s">
        <v>279</v>
      </c>
      <c r="B631" s="9" t="s">
        <v>280</v>
      </c>
      <c r="C631" s="9" t="s">
        <v>278</v>
      </c>
      <c r="F631" s="10"/>
      <c r="G631" s="9"/>
      <c r="H631" s="10">
        <v>1069.5</v>
      </c>
      <c r="I631" s="12">
        <f>H631*(1-'[1]Discounts page'!D$14)</f>
        <v>855.6</v>
      </c>
      <c r="J631" s="55">
        <f t="shared" si="25"/>
        <v>1284</v>
      </c>
    </row>
    <row r="632" spans="1:10" ht="18.75" x14ac:dyDescent="0.3">
      <c r="A632" s="19"/>
      <c r="B632" s="5"/>
      <c r="C632" s="5"/>
      <c r="F632" s="14"/>
      <c r="G632" s="5"/>
      <c r="H632" s="14"/>
      <c r="I632" s="15"/>
      <c r="J632" s="55"/>
    </row>
    <row r="633" spans="1:10" ht="18.75" x14ac:dyDescent="0.3">
      <c r="A633" s="6" t="s">
        <v>281</v>
      </c>
      <c r="B633" s="5"/>
      <c r="C633" s="5"/>
      <c r="F633" s="14"/>
      <c r="G633" s="5"/>
      <c r="H633" s="14"/>
      <c r="I633" s="15"/>
      <c r="J633" s="55"/>
    </row>
    <row r="634" spans="1:10" ht="18.75" x14ac:dyDescent="0.3">
      <c r="A634" s="2"/>
      <c r="B634" s="2"/>
      <c r="C634" s="2"/>
      <c r="F634" s="1"/>
      <c r="G634" s="2"/>
      <c r="H634" s="2"/>
      <c r="I634" s="2"/>
      <c r="J634" s="55"/>
    </row>
    <row r="635" spans="1:10" ht="18.75" x14ac:dyDescent="0.3">
      <c r="A635" s="8"/>
      <c r="B635" s="9"/>
      <c r="C635" s="9"/>
      <c r="F635" s="14"/>
      <c r="G635" s="5"/>
      <c r="H635" s="14"/>
      <c r="I635" s="15"/>
      <c r="J635" s="55"/>
    </row>
    <row r="636" spans="1:10" ht="18.75" x14ac:dyDescent="0.3">
      <c r="A636" s="8" t="s">
        <v>282</v>
      </c>
      <c r="B636" s="9" t="s">
        <v>283</v>
      </c>
      <c r="C636" s="9" t="s">
        <v>284</v>
      </c>
      <c r="F636" s="14"/>
      <c r="G636" s="5"/>
      <c r="H636" s="14">
        <v>12.99</v>
      </c>
      <c r="I636" s="15">
        <f>H636*(1-'[1]Discounts page'!D$15)</f>
        <v>7.7939999999999996</v>
      </c>
      <c r="J636" s="55">
        <f t="shared" ref="J636:J696" si="26">ROUNDUP(I636*1.5,0)</f>
        <v>12</v>
      </c>
    </row>
    <row r="637" spans="1:10" ht="18.75" x14ac:dyDescent="0.3">
      <c r="A637" s="8" t="s">
        <v>285</v>
      </c>
      <c r="B637" s="9" t="s">
        <v>286</v>
      </c>
      <c r="C637" s="9" t="s">
        <v>284</v>
      </c>
      <c r="F637" s="14"/>
      <c r="G637" s="5"/>
      <c r="H637" s="14">
        <v>155.88</v>
      </c>
      <c r="I637" s="15">
        <f>H637*(1-'[1]Discounts page'!D$15)</f>
        <v>93.527999999999992</v>
      </c>
      <c r="J637" s="55">
        <f t="shared" si="26"/>
        <v>141</v>
      </c>
    </row>
    <row r="638" spans="1:10" ht="18.75" x14ac:dyDescent="0.3">
      <c r="A638" s="8" t="s">
        <v>287</v>
      </c>
      <c r="B638" s="9" t="s">
        <v>288</v>
      </c>
      <c r="C638" s="9" t="s">
        <v>284</v>
      </c>
      <c r="F638" s="14"/>
      <c r="G638" s="5"/>
      <c r="H638" s="14">
        <v>65.7</v>
      </c>
      <c r="I638" s="15">
        <f>H638*(1-'[1]Discounts page'!D$15)</f>
        <v>39.42</v>
      </c>
      <c r="J638" s="55">
        <f t="shared" si="26"/>
        <v>60</v>
      </c>
    </row>
    <row r="639" spans="1:10" ht="18.75" x14ac:dyDescent="0.3">
      <c r="A639" s="8" t="s">
        <v>289</v>
      </c>
      <c r="B639" s="9" t="s">
        <v>290</v>
      </c>
      <c r="C639" s="9" t="s">
        <v>284</v>
      </c>
      <c r="F639" s="14"/>
      <c r="G639" s="5"/>
      <c r="H639" s="14">
        <v>131.4</v>
      </c>
      <c r="I639" s="15">
        <f>H639*(1-'[1]Discounts page'!D$15)</f>
        <v>78.84</v>
      </c>
      <c r="J639" s="55">
        <f t="shared" si="26"/>
        <v>119</v>
      </c>
    </row>
    <row r="640" spans="1:10" ht="18.75" x14ac:dyDescent="0.3">
      <c r="A640" s="8" t="s">
        <v>291</v>
      </c>
      <c r="B640" s="9" t="s">
        <v>292</v>
      </c>
      <c r="C640" s="9" t="s">
        <v>284</v>
      </c>
      <c r="F640" s="14"/>
      <c r="G640" s="5"/>
      <c r="H640" s="14">
        <v>251.6</v>
      </c>
      <c r="I640" s="15">
        <f>H640*(1-'[1]Discounts page'!D$15)</f>
        <v>150.95999999999998</v>
      </c>
      <c r="J640" s="55">
        <f t="shared" si="26"/>
        <v>227</v>
      </c>
    </row>
    <row r="641" spans="1:10" ht="18.75" x14ac:dyDescent="0.3">
      <c r="A641" s="8" t="s">
        <v>293</v>
      </c>
      <c r="B641" s="9" t="s">
        <v>294</v>
      </c>
      <c r="C641" s="9" t="s">
        <v>284</v>
      </c>
      <c r="F641" s="14"/>
      <c r="G641" s="5"/>
      <c r="H641" s="14">
        <v>28</v>
      </c>
      <c r="I641" s="15">
        <f>H641*(1-'[1]Discounts page'!D$15)</f>
        <v>16.8</v>
      </c>
      <c r="J641" s="55">
        <f t="shared" si="26"/>
        <v>26</v>
      </c>
    </row>
    <row r="642" spans="1:10" ht="18.75" x14ac:dyDescent="0.3">
      <c r="A642" s="8" t="s">
        <v>295</v>
      </c>
      <c r="B642" s="9" t="s">
        <v>296</v>
      </c>
      <c r="C642" s="9" t="s">
        <v>284</v>
      </c>
      <c r="F642" s="14"/>
      <c r="G642" s="5"/>
      <c r="H642" s="14">
        <v>336</v>
      </c>
      <c r="I642" s="15">
        <f>H642*(1-'[1]Discounts page'!D$15)</f>
        <v>201.6</v>
      </c>
      <c r="J642" s="55">
        <f t="shared" si="26"/>
        <v>303</v>
      </c>
    </row>
    <row r="643" spans="1:10" ht="18.75" x14ac:dyDescent="0.3">
      <c r="A643" s="8" t="s">
        <v>297</v>
      </c>
      <c r="B643" s="9" t="s">
        <v>298</v>
      </c>
      <c r="C643" s="9" t="s">
        <v>284</v>
      </c>
      <c r="F643" s="14"/>
      <c r="G643" s="5"/>
      <c r="H643" s="14">
        <v>49.2</v>
      </c>
      <c r="I643" s="15">
        <f>H643*(1-'[1]Discounts page'!D$15)</f>
        <v>29.52</v>
      </c>
      <c r="J643" s="55">
        <f t="shared" si="26"/>
        <v>45</v>
      </c>
    </row>
    <row r="644" spans="1:10" ht="18.75" x14ac:dyDescent="0.3">
      <c r="A644" s="8" t="s">
        <v>299</v>
      </c>
      <c r="B644" s="9" t="s">
        <v>300</v>
      </c>
      <c r="C644" s="9" t="s">
        <v>284</v>
      </c>
      <c r="F644" s="14"/>
      <c r="G644" s="5"/>
      <c r="H644" s="14">
        <v>246</v>
      </c>
      <c r="I644" s="15">
        <f>H644*(1-'[1]Discounts page'!D$15)</f>
        <v>147.6</v>
      </c>
      <c r="J644" s="55">
        <f t="shared" si="26"/>
        <v>222</v>
      </c>
    </row>
    <row r="645" spans="1:10" ht="18.75" x14ac:dyDescent="0.3">
      <c r="A645" s="8" t="s">
        <v>301</v>
      </c>
      <c r="B645" s="9" t="s">
        <v>302</v>
      </c>
      <c r="C645" s="9" t="s">
        <v>284</v>
      </c>
      <c r="F645" s="14"/>
      <c r="G645" s="5"/>
      <c r="H645" s="14">
        <v>492</v>
      </c>
      <c r="I645" s="15">
        <f>H645*(1-'[1]Discounts page'!D$15)</f>
        <v>295.2</v>
      </c>
      <c r="J645" s="55">
        <f t="shared" si="26"/>
        <v>443</v>
      </c>
    </row>
    <row r="646" spans="1:10" ht="18.75" x14ac:dyDescent="0.3">
      <c r="A646" s="8" t="s">
        <v>303</v>
      </c>
      <c r="B646" s="9" t="s">
        <v>304</v>
      </c>
      <c r="C646" s="9" t="s">
        <v>284</v>
      </c>
      <c r="F646" s="14"/>
      <c r="G646" s="5"/>
      <c r="H646" s="14">
        <v>868</v>
      </c>
      <c r="I646" s="15">
        <f>H646*(1-'[1]Discounts page'!D$15)</f>
        <v>520.79999999999995</v>
      </c>
      <c r="J646" s="55">
        <f t="shared" si="26"/>
        <v>782</v>
      </c>
    </row>
    <row r="647" spans="1:10" ht="18.75" x14ac:dyDescent="0.3">
      <c r="A647" s="8" t="s">
        <v>305</v>
      </c>
      <c r="B647" s="9" t="s">
        <v>306</v>
      </c>
      <c r="C647" s="9" t="s">
        <v>284</v>
      </c>
      <c r="F647" s="14"/>
      <c r="G647" s="5"/>
      <c r="H647" s="14">
        <v>40.4</v>
      </c>
      <c r="I647" s="15">
        <f>H647*(1-'[1]Discounts page'!D$15)</f>
        <v>24.24</v>
      </c>
      <c r="J647" s="55">
        <f t="shared" si="26"/>
        <v>37</v>
      </c>
    </row>
    <row r="648" spans="1:10" ht="18.75" x14ac:dyDescent="0.3">
      <c r="A648" s="8" t="s">
        <v>307</v>
      </c>
      <c r="B648" s="9" t="s">
        <v>308</v>
      </c>
      <c r="C648" s="9" t="s">
        <v>284</v>
      </c>
      <c r="F648" s="14"/>
      <c r="G648" s="5"/>
      <c r="H648" s="14">
        <v>369.2</v>
      </c>
      <c r="I648" s="15">
        <f>H648*(1-'[1]Discounts page'!D$15)</f>
        <v>221.51999999999998</v>
      </c>
      <c r="J648" s="55">
        <f t="shared" si="26"/>
        <v>333</v>
      </c>
    </row>
    <row r="649" spans="1:10" ht="18.75" x14ac:dyDescent="0.3">
      <c r="A649" s="8" t="s">
        <v>309</v>
      </c>
      <c r="B649" s="9" t="s">
        <v>310</v>
      </c>
      <c r="C649" s="9" t="s">
        <v>284</v>
      </c>
      <c r="F649" s="14"/>
      <c r="G649" s="5"/>
      <c r="H649" s="14">
        <v>659.5</v>
      </c>
      <c r="I649" s="15">
        <f>H649*(1-'[1]Discounts page'!D$15)</f>
        <v>395.7</v>
      </c>
      <c r="J649" s="55">
        <f t="shared" si="26"/>
        <v>594</v>
      </c>
    </row>
    <row r="650" spans="1:10" ht="18.75" x14ac:dyDescent="0.3">
      <c r="A650" s="8" t="s">
        <v>311</v>
      </c>
      <c r="B650" s="9" t="s">
        <v>312</v>
      </c>
      <c r="C650" s="9" t="s">
        <v>284</v>
      </c>
      <c r="F650" s="14"/>
      <c r="G650" s="5"/>
      <c r="H650" s="14">
        <v>5815.3</v>
      </c>
      <c r="I650" s="15">
        <f>H650*(1-'[1]Discounts page'!D$15)</f>
        <v>3489.18</v>
      </c>
      <c r="J650" s="55">
        <f t="shared" si="26"/>
        <v>5234</v>
      </c>
    </row>
    <row r="651" spans="1:10" ht="18.75" x14ac:dyDescent="0.3">
      <c r="A651" s="8" t="s">
        <v>313</v>
      </c>
      <c r="B651" s="9" t="s">
        <v>314</v>
      </c>
      <c r="C651" s="9" t="s">
        <v>284</v>
      </c>
      <c r="F651" s="14"/>
      <c r="G651" s="5"/>
      <c r="H651" s="14">
        <v>184.6</v>
      </c>
      <c r="I651" s="15">
        <f>H651*(1-'[1]Discounts page'!D$15)</f>
        <v>110.75999999999999</v>
      </c>
      <c r="J651" s="55">
        <f t="shared" si="26"/>
        <v>167</v>
      </c>
    </row>
    <row r="652" spans="1:10" ht="18.75" x14ac:dyDescent="0.3">
      <c r="A652" s="8" t="s">
        <v>315</v>
      </c>
      <c r="B652" s="9" t="s">
        <v>316</v>
      </c>
      <c r="C652" s="9" t="s">
        <v>284</v>
      </c>
      <c r="F652" s="14"/>
      <c r="G652" s="5"/>
      <c r="H652" s="14">
        <v>21</v>
      </c>
      <c r="I652" s="15">
        <f>H652*(1-'[1]Discounts page'!D$15)</f>
        <v>12.6</v>
      </c>
      <c r="J652" s="55">
        <f t="shared" si="26"/>
        <v>19</v>
      </c>
    </row>
    <row r="653" spans="1:10" ht="18.75" x14ac:dyDescent="0.3">
      <c r="A653" s="8" t="s">
        <v>317</v>
      </c>
      <c r="B653" s="9" t="s">
        <v>318</v>
      </c>
      <c r="C653" s="9" t="s">
        <v>284</v>
      </c>
      <c r="F653" s="14"/>
      <c r="G653" s="5"/>
      <c r="H653" s="14">
        <v>37</v>
      </c>
      <c r="I653" s="15">
        <f>H653*(1-'[1]Discounts page'!D$15)</f>
        <v>22.2</v>
      </c>
      <c r="J653" s="55">
        <f t="shared" si="26"/>
        <v>34</v>
      </c>
    </row>
    <row r="654" spans="1:10" ht="18.75" x14ac:dyDescent="0.3">
      <c r="A654" s="8" t="s">
        <v>319</v>
      </c>
      <c r="B654" s="9" t="s">
        <v>320</v>
      </c>
      <c r="C654" s="9" t="s">
        <v>284</v>
      </c>
      <c r="F654" s="14"/>
      <c r="G654" s="5"/>
      <c r="H654" s="14">
        <v>362.6</v>
      </c>
      <c r="I654" s="15">
        <f>H654*(1-'[1]Discounts page'!D$15)</f>
        <v>217.56</v>
      </c>
      <c r="J654" s="55">
        <f t="shared" si="26"/>
        <v>327</v>
      </c>
    </row>
    <row r="655" spans="1:10" ht="18.75" x14ac:dyDescent="0.3">
      <c r="A655" s="8" t="s">
        <v>321</v>
      </c>
      <c r="B655" s="9" t="s">
        <v>322</v>
      </c>
      <c r="C655" s="9" t="s">
        <v>284</v>
      </c>
      <c r="F655" s="14"/>
      <c r="G655" s="5"/>
      <c r="H655" s="14">
        <v>43.1</v>
      </c>
      <c r="I655" s="15">
        <f>H655*(1-'[1]Discounts page'!D$15)</f>
        <v>25.86</v>
      </c>
      <c r="J655" s="55">
        <f t="shared" si="26"/>
        <v>39</v>
      </c>
    </row>
    <row r="656" spans="1:10" ht="18.75" x14ac:dyDescent="0.3">
      <c r="A656" s="8" t="s">
        <v>323</v>
      </c>
      <c r="B656" s="9" t="s">
        <v>324</v>
      </c>
      <c r="C656" s="9" t="s">
        <v>284</v>
      </c>
      <c r="F656" s="14"/>
      <c r="G656" s="5"/>
      <c r="H656" s="14">
        <v>25.200000000000003</v>
      </c>
      <c r="I656" s="15">
        <f>H656*(1-'[1]Discounts page'!D$15)</f>
        <v>15.120000000000001</v>
      </c>
      <c r="J656" s="55">
        <f t="shared" si="26"/>
        <v>23</v>
      </c>
    </row>
    <row r="657" spans="1:10" ht="18.75" x14ac:dyDescent="0.3">
      <c r="A657" s="8" t="s">
        <v>325</v>
      </c>
      <c r="B657" s="9" t="s">
        <v>326</v>
      </c>
      <c r="C657" s="9" t="s">
        <v>284</v>
      </c>
      <c r="F657" s="14"/>
      <c r="G657" s="5"/>
      <c r="H657" s="14">
        <v>28.2</v>
      </c>
      <c r="I657" s="15">
        <f>H657*(1-'[1]Discounts page'!D$15)</f>
        <v>16.919999999999998</v>
      </c>
      <c r="J657" s="55">
        <f t="shared" si="26"/>
        <v>26</v>
      </c>
    </row>
    <row r="658" spans="1:10" ht="18.75" x14ac:dyDescent="0.3">
      <c r="A658" s="8" t="s">
        <v>327</v>
      </c>
      <c r="B658" s="9" t="s">
        <v>328</v>
      </c>
      <c r="C658" s="9" t="s">
        <v>284</v>
      </c>
      <c r="F658" s="14"/>
      <c r="G658" s="5"/>
      <c r="H658" s="14">
        <v>19.200000000000003</v>
      </c>
      <c r="I658" s="15">
        <f>H658*(1-'[1]Discounts page'!D$15)</f>
        <v>11.520000000000001</v>
      </c>
      <c r="J658" s="55">
        <f t="shared" si="26"/>
        <v>18</v>
      </c>
    </row>
    <row r="659" spans="1:10" ht="18.75" x14ac:dyDescent="0.3">
      <c r="A659" s="8" t="s">
        <v>329</v>
      </c>
      <c r="B659" s="9" t="s">
        <v>330</v>
      </c>
      <c r="C659" s="9" t="s">
        <v>284</v>
      </c>
      <c r="F659" s="14"/>
      <c r="G659" s="5"/>
      <c r="H659" s="14">
        <v>65.5</v>
      </c>
      <c r="I659" s="15">
        <f>H659*(1-'[1]Discounts page'!D$15)</f>
        <v>39.299999999999997</v>
      </c>
      <c r="J659" s="55">
        <f t="shared" si="26"/>
        <v>59</v>
      </c>
    </row>
    <row r="660" spans="1:10" ht="18.75" x14ac:dyDescent="0.3">
      <c r="A660" s="8" t="s">
        <v>331</v>
      </c>
      <c r="B660" s="9" t="s">
        <v>332</v>
      </c>
      <c r="C660" s="9" t="s">
        <v>284</v>
      </c>
      <c r="F660" s="14"/>
      <c r="G660" s="5"/>
      <c r="H660" s="14">
        <v>131</v>
      </c>
      <c r="I660" s="15">
        <f>H660*(1-'[1]Discounts page'!D$15)</f>
        <v>78.599999999999994</v>
      </c>
      <c r="J660" s="55">
        <f t="shared" si="26"/>
        <v>118</v>
      </c>
    </row>
    <row r="661" spans="1:10" ht="18.75" x14ac:dyDescent="0.3">
      <c r="A661" s="8" t="s">
        <v>333</v>
      </c>
      <c r="B661" s="9" t="s">
        <v>334</v>
      </c>
      <c r="C661" s="9" t="s">
        <v>284</v>
      </c>
      <c r="F661" s="14"/>
      <c r="G661" s="5"/>
      <c r="H661" s="14">
        <v>246.6</v>
      </c>
      <c r="I661" s="15">
        <f>H661*(1-'[1]Discounts page'!D$15)</f>
        <v>147.95999999999998</v>
      </c>
      <c r="J661" s="55">
        <f t="shared" si="26"/>
        <v>222</v>
      </c>
    </row>
    <row r="662" spans="1:10" ht="18.75" x14ac:dyDescent="0.3">
      <c r="A662" s="8" t="s">
        <v>335</v>
      </c>
      <c r="B662" s="9" t="s">
        <v>336</v>
      </c>
      <c r="C662" s="9" t="s">
        <v>284</v>
      </c>
      <c r="F662" s="14"/>
      <c r="G662" s="5"/>
      <c r="H662" s="14">
        <v>161.69999999999999</v>
      </c>
      <c r="I662" s="15">
        <f>H662*(1-'[1]Discounts page'!D$15)</f>
        <v>97.02</v>
      </c>
      <c r="J662" s="55">
        <f t="shared" si="26"/>
        <v>146</v>
      </c>
    </row>
    <row r="663" spans="1:10" ht="18.75" x14ac:dyDescent="0.3">
      <c r="A663" s="8" t="s">
        <v>337</v>
      </c>
      <c r="B663" s="9" t="s">
        <v>338</v>
      </c>
      <c r="C663" s="9" t="s">
        <v>284</v>
      </c>
      <c r="F663" s="14"/>
      <c r="G663" s="5"/>
      <c r="H663" s="14">
        <v>79.699999999999989</v>
      </c>
      <c r="I663" s="15">
        <f>H663*(1-'[1]Discounts page'!D$15)</f>
        <v>47.819999999999993</v>
      </c>
      <c r="J663" s="55">
        <f t="shared" si="26"/>
        <v>72</v>
      </c>
    </row>
    <row r="664" spans="1:10" ht="18.75" x14ac:dyDescent="0.3">
      <c r="A664" s="8" t="s">
        <v>339</v>
      </c>
      <c r="B664" s="9" t="s">
        <v>340</v>
      </c>
      <c r="C664" s="9" t="s">
        <v>284</v>
      </c>
      <c r="F664" s="14"/>
      <c r="G664" s="5"/>
      <c r="H664" s="14">
        <v>159.4</v>
      </c>
      <c r="I664" s="15">
        <f>H664*(1-'[1]Discounts page'!D$15)</f>
        <v>95.64</v>
      </c>
      <c r="J664" s="55">
        <f t="shared" si="26"/>
        <v>144</v>
      </c>
    </row>
    <row r="665" spans="1:10" ht="18.75" x14ac:dyDescent="0.3">
      <c r="A665" s="8" t="s">
        <v>341</v>
      </c>
      <c r="B665" s="9" t="s">
        <v>342</v>
      </c>
      <c r="C665" s="9" t="s">
        <v>284</v>
      </c>
      <c r="F665" s="14"/>
      <c r="G665" s="5"/>
      <c r="H665" s="14">
        <v>280.3</v>
      </c>
      <c r="I665" s="15">
        <f>H665*(1-'[1]Discounts page'!D$15)</f>
        <v>168.18</v>
      </c>
      <c r="J665" s="55">
        <f t="shared" si="26"/>
        <v>253</v>
      </c>
    </row>
    <row r="666" spans="1:10" ht="18.75" x14ac:dyDescent="0.3">
      <c r="A666" s="8" t="s">
        <v>343</v>
      </c>
      <c r="B666" s="9" t="s">
        <v>344</v>
      </c>
      <c r="C666" s="9" t="s">
        <v>284</v>
      </c>
      <c r="F666" s="14"/>
      <c r="G666" s="5"/>
      <c r="H666" s="14">
        <v>2773.6</v>
      </c>
      <c r="I666" s="15">
        <f>H666*(1-'[1]Discounts page'!D$15)</f>
        <v>1664.1599999999999</v>
      </c>
      <c r="J666" s="55">
        <f t="shared" si="26"/>
        <v>2497</v>
      </c>
    </row>
    <row r="667" spans="1:10" ht="18.75" x14ac:dyDescent="0.3">
      <c r="A667" s="8" t="s">
        <v>345</v>
      </c>
      <c r="B667" s="9" t="s">
        <v>346</v>
      </c>
      <c r="C667" s="9" t="s">
        <v>284</v>
      </c>
      <c r="F667" s="14"/>
      <c r="G667" s="5"/>
      <c r="H667" s="14">
        <v>206.7</v>
      </c>
      <c r="I667" s="15">
        <f>H667*(1-'[1]Discounts page'!D$15)</f>
        <v>124.01999999999998</v>
      </c>
      <c r="J667" s="55">
        <f t="shared" si="26"/>
        <v>187</v>
      </c>
    </row>
    <row r="668" spans="1:10" ht="18.75" x14ac:dyDescent="0.3">
      <c r="A668" s="8" t="s">
        <v>347</v>
      </c>
      <c r="B668" s="9" t="s">
        <v>348</v>
      </c>
      <c r="C668" s="9" t="s">
        <v>284</v>
      </c>
      <c r="F668" s="14"/>
      <c r="G668" s="5"/>
      <c r="H668" s="14">
        <v>103.5</v>
      </c>
      <c r="I668" s="15">
        <f>H668*(1-'[1]Discounts page'!D$15)</f>
        <v>62.099999999999994</v>
      </c>
      <c r="J668" s="55">
        <f t="shared" si="26"/>
        <v>94</v>
      </c>
    </row>
    <row r="669" spans="1:10" ht="18.75" x14ac:dyDescent="0.3">
      <c r="A669" s="8" t="s">
        <v>349</v>
      </c>
      <c r="B669" s="9" t="s">
        <v>350</v>
      </c>
      <c r="C669" s="9" t="s">
        <v>284</v>
      </c>
      <c r="F669" s="14"/>
      <c r="G669" s="5"/>
      <c r="H669" s="14">
        <v>207</v>
      </c>
      <c r="I669" s="15">
        <f>H669*(1-'[1]Discounts page'!D$15)</f>
        <v>124.19999999999999</v>
      </c>
      <c r="J669" s="55">
        <f t="shared" si="26"/>
        <v>187</v>
      </c>
    </row>
    <row r="670" spans="1:10" ht="18.75" x14ac:dyDescent="0.3">
      <c r="A670" s="8" t="s">
        <v>351</v>
      </c>
      <c r="B670" s="9" t="s">
        <v>352</v>
      </c>
      <c r="C670" s="9" t="s">
        <v>284</v>
      </c>
      <c r="F670" s="14"/>
      <c r="G670" s="5"/>
      <c r="H670" s="14">
        <v>359.7</v>
      </c>
      <c r="I670" s="15">
        <f>H670*(1-'[1]Discounts page'!D$15)</f>
        <v>215.82</v>
      </c>
      <c r="J670" s="55">
        <f t="shared" si="26"/>
        <v>324</v>
      </c>
    </row>
    <row r="671" spans="1:10" ht="18.75" x14ac:dyDescent="0.3">
      <c r="A671" s="8" t="s">
        <v>353</v>
      </c>
      <c r="B671" s="9" t="s">
        <v>354</v>
      </c>
      <c r="C671" s="9" t="s">
        <v>284</v>
      </c>
      <c r="F671" s="14"/>
      <c r="G671" s="5"/>
      <c r="H671" s="14">
        <v>3616</v>
      </c>
      <c r="I671" s="15">
        <f>H671*(1-'[1]Discounts page'!D$15)</f>
        <v>2169.6</v>
      </c>
      <c r="J671" s="55">
        <f t="shared" si="26"/>
        <v>3255</v>
      </c>
    </row>
    <row r="672" spans="1:10" ht="18.75" x14ac:dyDescent="0.3">
      <c r="A672" s="8" t="s">
        <v>355</v>
      </c>
      <c r="B672" s="9" t="s">
        <v>356</v>
      </c>
      <c r="C672" s="9" t="s">
        <v>284</v>
      </c>
      <c r="F672" s="14"/>
      <c r="G672" s="5"/>
      <c r="H672" s="14">
        <v>114.89999999999999</v>
      </c>
      <c r="I672" s="15">
        <f>H672*(1-'[1]Discounts page'!D$15)</f>
        <v>68.94</v>
      </c>
      <c r="J672" s="55">
        <f t="shared" si="26"/>
        <v>104</v>
      </c>
    </row>
    <row r="673" spans="1:10" ht="18.75" x14ac:dyDescent="0.3">
      <c r="A673" s="8" t="s">
        <v>357</v>
      </c>
      <c r="B673" s="9" t="s">
        <v>358</v>
      </c>
      <c r="C673" s="9" t="s">
        <v>284</v>
      </c>
      <c r="F673" s="14"/>
      <c r="G673" s="5"/>
      <c r="H673" s="14">
        <v>229</v>
      </c>
      <c r="I673" s="15">
        <f>H673*(1-'[1]Discounts page'!D$15)</f>
        <v>137.4</v>
      </c>
      <c r="J673" s="55">
        <f t="shared" si="26"/>
        <v>207</v>
      </c>
    </row>
    <row r="674" spans="1:10" ht="18.75" x14ac:dyDescent="0.3">
      <c r="A674" s="8" t="s">
        <v>359</v>
      </c>
      <c r="B674" s="9" t="s">
        <v>360</v>
      </c>
      <c r="C674" s="9" t="s">
        <v>284</v>
      </c>
      <c r="F674" s="14"/>
      <c r="G674" s="5"/>
      <c r="H674" s="14">
        <v>417.20000000000005</v>
      </c>
      <c r="I674" s="15">
        <f>H674*(1-'[1]Discounts page'!D$15)</f>
        <v>250.32000000000002</v>
      </c>
      <c r="J674" s="55">
        <f t="shared" si="26"/>
        <v>376</v>
      </c>
    </row>
    <row r="675" spans="1:10" ht="18.75" x14ac:dyDescent="0.3">
      <c r="A675" s="8" t="s">
        <v>361</v>
      </c>
      <c r="B675" s="9" t="s">
        <v>362</v>
      </c>
      <c r="C675" s="9" t="s">
        <v>284</v>
      </c>
      <c r="F675" s="14"/>
      <c r="G675" s="5"/>
      <c r="H675" s="14">
        <v>4150.1000000000004</v>
      </c>
      <c r="I675" s="15">
        <f>H675*(1-'[1]Discounts page'!D$15)</f>
        <v>2490.06</v>
      </c>
      <c r="J675" s="55">
        <f t="shared" si="26"/>
        <v>3736</v>
      </c>
    </row>
    <row r="676" spans="1:10" ht="18.75" x14ac:dyDescent="0.3">
      <c r="A676" s="8" t="s">
        <v>363</v>
      </c>
      <c r="B676" s="9" t="s">
        <v>364</v>
      </c>
      <c r="C676" s="9" t="s">
        <v>284</v>
      </c>
      <c r="F676" s="14"/>
      <c r="G676" s="5"/>
      <c r="H676" s="14">
        <v>108.19999999999999</v>
      </c>
      <c r="I676" s="15">
        <f>H676*(1-'[1]Discounts page'!D$15)</f>
        <v>64.919999999999987</v>
      </c>
      <c r="J676" s="55">
        <f t="shared" si="26"/>
        <v>98</v>
      </c>
    </row>
    <row r="677" spans="1:10" ht="18.75" x14ac:dyDescent="0.3">
      <c r="A677" s="8" t="s">
        <v>365</v>
      </c>
      <c r="B677" s="9" t="s">
        <v>366</v>
      </c>
      <c r="C677" s="9" t="s">
        <v>284</v>
      </c>
      <c r="F677" s="14"/>
      <c r="G677" s="5"/>
      <c r="H677" s="14">
        <v>216</v>
      </c>
      <c r="I677" s="15">
        <f>H677*(1-'[1]Discounts page'!D$15)</f>
        <v>129.6</v>
      </c>
      <c r="J677" s="55">
        <f t="shared" si="26"/>
        <v>195</v>
      </c>
    </row>
    <row r="678" spans="1:10" ht="18.75" x14ac:dyDescent="0.3">
      <c r="A678" s="8" t="s">
        <v>367</v>
      </c>
      <c r="B678" s="9" t="s">
        <v>368</v>
      </c>
      <c r="C678" s="9" t="s">
        <v>284</v>
      </c>
      <c r="F678" s="14"/>
      <c r="G678" s="5"/>
      <c r="H678" s="14">
        <v>414.8</v>
      </c>
      <c r="I678" s="15">
        <f>H678*(1-'[1]Discounts page'!D$15)</f>
        <v>248.88</v>
      </c>
      <c r="J678" s="55">
        <f t="shared" si="26"/>
        <v>374</v>
      </c>
    </row>
    <row r="679" spans="1:10" ht="18.75" x14ac:dyDescent="0.3">
      <c r="A679" s="8" t="s">
        <v>369</v>
      </c>
      <c r="B679" s="9" t="s">
        <v>370</v>
      </c>
      <c r="C679" s="9" t="s">
        <v>284</v>
      </c>
      <c r="F679" s="14"/>
      <c r="G679" s="5"/>
      <c r="H679" s="14">
        <v>4162.2</v>
      </c>
      <c r="I679" s="15">
        <f>H679*(1-'[1]Discounts page'!D$15)</f>
        <v>2497.3199999999997</v>
      </c>
      <c r="J679" s="55">
        <f t="shared" si="26"/>
        <v>3746</v>
      </c>
    </row>
    <row r="680" spans="1:10" ht="18.75" x14ac:dyDescent="0.3">
      <c r="A680" s="8" t="s">
        <v>371</v>
      </c>
      <c r="B680" s="9" t="s">
        <v>372</v>
      </c>
      <c r="C680" s="9" t="s">
        <v>284</v>
      </c>
      <c r="F680" s="14"/>
      <c r="G680" s="5"/>
      <c r="H680" s="14">
        <v>120.1</v>
      </c>
      <c r="I680" s="15">
        <f>H680*(1-'[1]Discounts page'!D$15)</f>
        <v>72.059999999999988</v>
      </c>
      <c r="J680" s="55">
        <f t="shared" si="26"/>
        <v>109</v>
      </c>
    </row>
    <row r="681" spans="1:10" ht="18.75" x14ac:dyDescent="0.3">
      <c r="A681" s="8" t="s">
        <v>373</v>
      </c>
      <c r="B681" s="9" t="s">
        <v>374</v>
      </c>
      <c r="C681" s="9" t="s">
        <v>284</v>
      </c>
      <c r="F681" s="14"/>
      <c r="G681" s="5"/>
      <c r="H681" s="14">
        <v>436.7</v>
      </c>
      <c r="I681" s="15">
        <f>H681*(1-'[1]Discounts page'!D$15)</f>
        <v>262.02</v>
      </c>
      <c r="J681" s="55">
        <f t="shared" si="26"/>
        <v>394</v>
      </c>
    </row>
    <row r="682" spans="1:10" ht="18.75" x14ac:dyDescent="0.3">
      <c r="A682" s="8" t="s">
        <v>375</v>
      </c>
      <c r="B682" s="9" t="s">
        <v>376</v>
      </c>
      <c r="C682" s="9" t="s">
        <v>284</v>
      </c>
      <c r="F682" s="14"/>
      <c r="G682" s="5"/>
      <c r="H682" s="14">
        <v>4300.6000000000004</v>
      </c>
      <c r="I682" s="15">
        <f>H682*(1-'[1]Discounts page'!D$15)</f>
        <v>2580.36</v>
      </c>
      <c r="J682" s="55">
        <f t="shared" si="26"/>
        <v>3871</v>
      </c>
    </row>
    <row r="683" spans="1:10" ht="18.75" x14ac:dyDescent="0.3">
      <c r="A683" s="8" t="s">
        <v>377</v>
      </c>
      <c r="B683" s="9" t="s">
        <v>378</v>
      </c>
      <c r="C683" s="9" t="s">
        <v>284</v>
      </c>
      <c r="F683" s="14"/>
      <c r="G683" s="5"/>
      <c r="H683" s="14">
        <v>150.6</v>
      </c>
      <c r="I683" s="15">
        <f>H683*(1-'[1]Discounts page'!D$15)</f>
        <v>90.36</v>
      </c>
      <c r="J683" s="55">
        <f t="shared" si="26"/>
        <v>136</v>
      </c>
    </row>
    <row r="684" spans="1:10" ht="18.75" x14ac:dyDescent="0.3">
      <c r="A684" s="8" t="s">
        <v>379</v>
      </c>
      <c r="B684" s="9" t="s">
        <v>380</v>
      </c>
      <c r="C684" s="9" t="s">
        <v>284</v>
      </c>
      <c r="F684" s="14"/>
      <c r="G684" s="5"/>
      <c r="H684" s="14">
        <v>301.2</v>
      </c>
      <c r="I684" s="15">
        <f>H684*(1-'[1]Discounts page'!D$15)</f>
        <v>180.72</v>
      </c>
      <c r="J684" s="55">
        <f t="shared" si="26"/>
        <v>272</v>
      </c>
    </row>
    <row r="685" spans="1:10" ht="18.75" x14ac:dyDescent="0.3">
      <c r="A685" s="8" t="s">
        <v>381</v>
      </c>
      <c r="B685" s="9" t="s">
        <v>382</v>
      </c>
      <c r="C685" s="9" t="s">
        <v>284</v>
      </c>
      <c r="F685" s="14"/>
      <c r="G685" s="5"/>
      <c r="H685" s="14">
        <v>559.4</v>
      </c>
      <c r="I685" s="15">
        <f>H685*(1-'[1]Discounts page'!D$15)</f>
        <v>335.64</v>
      </c>
      <c r="J685" s="55">
        <f t="shared" si="26"/>
        <v>504</v>
      </c>
    </row>
    <row r="686" spans="1:10" ht="18.75" x14ac:dyDescent="0.3">
      <c r="A686" s="8" t="s">
        <v>383</v>
      </c>
      <c r="B686" s="9" t="s">
        <v>384</v>
      </c>
      <c r="C686" s="9" t="s">
        <v>284</v>
      </c>
      <c r="F686" s="14"/>
      <c r="G686" s="5"/>
      <c r="H686" s="14">
        <v>5560.7000000000007</v>
      </c>
      <c r="I686" s="15">
        <f>H686*(1-'[1]Discounts page'!D$15)</f>
        <v>3336.4200000000005</v>
      </c>
      <c r="J686" s="55">
        <f t="shared" si="26"/>
        <v>5005</v>
      </c>
    </row>
    <row r="687" spans="1:10" ht="18.75" x14ac:dyDescent="0.3">
      <c r="A687" s="8" t="s">
        <v>385</v>
      </c>
      <c r="B687" s="9" t="s">
        <v>386</v>
      </c>
      <c r="C687" s="9" t="s">
        <v>284</v>
      </c>
      <c r="F687" s="14"/>
      <c r="G687" s="5"/>
      <c r="H687" s="14">
        <v>142.80000000000001</v>
      </c>
      <c r="I687" s="15">
        <f>H687*(1-'[1]Discounts page'!D$15)</f>
        <v>85.68</v>
      </c>
      <c r="J687" s="55">
        <f t="shared" si="26"/>
        <v>129</v>
      </c>
    </row>
    <row r="688" spans="1:10" ht="18.75" x14ac:dyDescent="0.3">
      <c r="A688" s="8" t="s">
        <v>387</v>
      </c>
      <c r="B688" s="9" t="s">
        <v>388</v>
      </c>
      <c r="C688" s="9" t="s">
        <v>284</v>
      </c>
      <c r="F688" s="14"/>
      <c r="G688" s="5"/>
      <c r="H688" s="14">
        <v>375</v>
      </c>
      <c r="I688" s="15">
        <f>H688*(1-'[1]Discounts page'!D$15)</f>
        <v>225</v>
      </c>
      <c r="J688" s="55">
        <f t="shared" si="26"/>
        <v>338</v>
      </c>
    </row>
    <row r="689" spans="1:10" ht="18.75" x14ac:dyDescent="0.3">
      <c r="A689" s="8" t="s">
        <v>389</v>
      </c>
      <c r="B689" s="9" t="s">
        <v>390</v>
      </c>
      <c r="C689" s="9" t="s">
        <v>284</v>
      </c>
      <c r="F689" s="14"/>
      <c r="G689" s="5"/>
      <c r="H689" s="14">
        <v>651</v>
      </c>
      <c r="I689" s="15">
        <f>H689*(1-'[1]Discounts page'!D$15)</f>
        <v>390.59999999999997</v>
      </c>
      <c r="J689" s="55">
        <f t="shared" si="26"/>
        <v>586</v>
      </c>
    </row>
    <row r="690" spans="1:10" ht="18.75" x14ac:dyDescent="0.3">
      <c r="A690" s="8" t="s">
        <v>391</v>
      </c>
      <c r="B690" s="9" t="s">
        <v>392</v>
      </c>
      <c r="C690" s="9" t="s">
        <v>284</v>
      </c>
      <c r="F690" s="14"/>
      <c r="G690" s="5"/>
      <c r="H690" s="14">
        <v>5560.8</v>
      </c>
      <c r="I690" s="15">
        <f>H690*(1-'[1]Discounts page'!D$15)</f>
        <v>3336.48</v>
      </c>
      <c r="J690" s="55">
        <f t="shared" si="26"/>
        <v>5005</v>
      </c>
    </row>
    <row r="691" spans="1:10" ht="18.75" x14ac:dyDescent="0.3">
      <c r="A691" s="8" t="s">
        <v>393</v>
      </c>
      <c r="B691" s="9" t="s">
        <v>394</v>
      </c>
      <c r="C691" s="9" t="s">
        <v>284</v>
      </c>
      <c r="F691" s="14"/>
      <c r="G691" s="5"/>
      <c r="H691" s="14">
        <v>74.699999999999989</v>
      </c>
      <c r="I691" s="15">
        <f>H691*(1-'[1]Discounts page'!D$15)</f>
        <v>44.819999999999993</v>
      </c>
      <c r="J691" s="55">
        <f t="shared" si="26"/>
        <v>68</v>
      </c>
    </row>
    <row r="692" spans="1:10" ht="18.75" x14ac:dyDescent="0.3">
      <c r="A692" s="8" t="s">
        <v>395</v>
      </c>
      <c r="B692" s="9" t="s">
        <v>396</v>
      </c>
      <c r="C692" s="9" t="s">
        <v>284</v>
      </c>
      <c r="F692" s="14"/>
      <c r="G692" s="5"/>
      <c r="H692" s="14">
        <v>149.4</v>
      </c>
      <c r="I692" s="15">
        <f>H692*(1-'[1]Discounts page'!D$15)</f>
        <v>89.64</v>
      </c>
      <c r="J692" s="55">
        <f t="shared" si="26"/>
        <v>135</v>
      </c>
    </row>
    <row r="693" spans="1:10" ht="18.75" x14ac:dyDescent="0.3">
      <c r="A693" s="8" t="s">
        <v>397</v>
      </c>
      <c r="B693" s="9" t="s">
        <v>398</v>
      </c>
      <c r="C693" s="9" t="s">
        <v>284</v>
      </c>
      <c r="F693" s="14"/>
      <c r="G693" s="5"/>
      <c r="H693" s="14">
        <v>291.5</v>
      </c>
      <c r="I693" s="15">
        <f>H693*(1-'[1]Discounts page'!D$15)</f>
        <v>174.9</v>
      </c>
      <c r="J693" s="55">
        <f t="shared" si="26"/>
        <v>263</v>
      </c>
    </row>
    <row r="694" spans="1:10" ht="18.75" x14ac:dyDescent="0.3">
      <c r="A694" s="8" t="s">
        <v>399</v>
      </c>
      <c r="B694" s="9" t="s">
        <v>400</v>
      </c>
      <c r="C694" s="9" t="s">
        <v>284</v>
      </c>
      <c r="F694" s="14"/>
      <c r="G694" s="5"/>
      <c r="H694" s="14">
        <v>2760.9</v>
      </c>
      <c r="I694" s="15">
        <f>H694*(1-'[1]Discounts page'!D$15)</f>
        <v>1656.54</v>
      </c>
      <c r="J694" s="55">
        <f t="shared" si="26"/>
        <v>2485</v>
      </c>
    </row>
    <row r="695" spans="1:10" ht="18.75" x14ac:dyDescent="0.3">
      <c r="A695" s="8" t="s">
        <v>401</v>
      </c>
      <c r="B695" s="9" t="s">
        <v>402</v>
      </c>
      <c r="C695" s="9" t="s">
        <v>284</v>
      </c>
      <c r="F695" s="14"/>
      <c r="G695" s="5"/>
      <c r="H695" s="14">
        <v>127.89999999999999</v>
      </c>
      <c r="I695" s="15">
        <f>H695*(1-'[1]Discounts page'!D$15)</f>
        <v>76.739999999999995</v>
      </c>
      <c r="J695" s="55">
        <f t="shared" si="26"/>
        <v>116</v>
      </c>
    </row>
    <row r="696" spans="1:10" ht="18.75" x14ac:dyDescent="0.3">
      <c r="A696" s="8" t="s">
        <v>403</v>
      </c>
      <c r="B696" s="9" t="s">
        <v>404</v>
      </c>
      <c r="C696" s="9" t="s">
        <v>284</v>
      </c>
      <c r="F696" s="14"/>
      <c r="G696" s="5"/>
      <c r="H696" s="14">
        <v>255</v>
      </c>
      <c r="I696" s="15">
        <f>H696*(1-'[1]Discounts page'!D$15)</f>
        <v>153</v>
      </c>
      <c r="J696" s="55">
        <f t="shared" si="26"/>
        <v>230</v>
      </c>
    </row>
    <row r="697" spans="1:10" ht="18.75" x14ac:dyDescent="0.3">
      <c r="A697" s="8" t="s">
        <v>405</v>
      </c>
      <c r="B697" s="9" t="s">
        <v>406</v>
      </c>
      <c r="C697" s="9" t="s">
        <v>284</v>
      </c>
      <c r="F697" s="14"/>
      <c r="G697" s="5"/>
      <c r="H697" s="14">
        <v>507.40000000000003</v>
      </c>
      <c r="I697" s="15">
        <f>H697*(1-'[1]Discounts page'!D$15)</f>
        <v>304.44</v>
      </c>
      <c r="J697" s="55">
        <f t="shared" ref="J697:J748" si="27">ROUNDUP(I697*1.5,0)</f>
        <v>457</v>
      </c>
    </row>
    <row r="698" spans="1:10" ht="18.75" x14ac:dyDescent="0.3">
      <c r="A698" s="8" t="s">
        <v>407</v>
      </c>
      <c r="B698" s="9" t="s">
        <v>408</v>
      </c>
      <c r="C698" s="9" t="s">
        <v>284</v>
      </c>
      <c r="F698" s="14"/>
      <c r="G698" s="5"/>
      <c r="H698" s="14">
        <v>4954.4000000000005</v>
      </c>
      <c r="I698" s="15">
        <f>H698*(1-'[1]Discounts page'!D$15)</f>
        <v>2972.6400000000003</v>
      </c>
      <c r="J698" s="55">
        <f t="shared" si="27"/>
        <v>4459</v>
      </c>
    </row>
    <row r="699" spans="1:10" ht="18.75" x14ac:dyDescent="0.3">
      <c r="A699" s="8" t="s">
        <v>409</v>
      </c>
      <c r="B699" s="9" t="s">
        <v>410</v>
      </c>
      <c r="C699" s="9" t="s">
        <v>284</v>
      </c>
      <c r="F699" s="14"/>
      <c r="G699" s="5"/>
      <c r="H699" s="14">
        <v>203.9</v>
      </c>
      <c r="I699" s="15">
        <f>H699*(1-'[1]Discounts page'!D$15)</f>
        <v>122.34</v>
      </c>
      <c r="J699" s="55">
        <f t="shared" si="27"/>
        <v>184</v>
      </c>
    </row>
    <row r="700" spans="1:10" ht="18.75" x14ac:dyDescent="0.3">
      <c r="A700" s="8" t="s">
        <v>411</v>
      </c>
      <c r="B700" s="9" t="s">
        <v>412</v>
      </c>
      <c r="C700" s="9" t="s">
        <v>284</v>
      </c>
      <c r="F700" s="14"/>
      <c r="G700" s="5"/>
      <c r="H700" s="14">
        <v>407.8</v>
      </c>
      <c r="I700" s="15">
        <f>H700*(1-'[1]Discounts page'!D$15)</f>
        <v>244.68</v>
      </c>
      <c r="J700" s="55">
        <f t="shared" si="27"/>
        <v>368</v>
      </c>
    </row>
    <row r="701" spans="1:10" ht="18.75" x14ac:dyDescent="0.3">
      <c r="A701" s="8" t="s">
        <v>413</v>
      </c>
      <c r="B701" s="9" t="s">
        <v>414</v>
      </c>
      <c r="C701" s="9" t="s">
        <v>284</v>
      </c>
      <c r="F701" s="14"/>
      <c r="G701" s="5"/>
      <c r="H701" s="14">
        <v>787.80000000000007</v>
      </c>
      <c r="I701" s="15">
        <f>H701*(1-'[1]Discounts page'!D$15)</f>
        <v>472.68</v>
      </c>
      <c r="J701" s="55">
        <f t="shared" si="27"/>
        <v>710</v>
      </c>
    </row>
    <row r="702" spans="1:10" ht="18.75" x14ac:dyDescent="0.3">
      <c r="A702" s="8" t="s">
        <v>415</v>
      </c>
      <c r="B702" s="9" t="s">
        <v>416</v>
      </c>
      <c r="C702" s="9" t="s">
        <v>284</v>
      </c>
      <c r="F702" s="14"/>
      <c r="G702" s="5"/>
      <c r="H702" s="14">
        <v>7932.5</v>
      </c>
      <c r="I702" s="15">
        <f>H702*(1-'[1]Discounts page'!D$15)</f>
        <v>4759.5</v>
      </c>
      <c r="J702" s="55">
        <f t="shared" si="27"/>
        <v>7140</v>
      </c>
    </row>
    <row r="703" spans="1:10" ht="18.75" x14ac:dyDescent="0.3">
      <c r="A703" s="8" t="s">
        <v>417</v>
      </c>
      <c r="B703" s="9" t="s">
        <v>418</v>
      </c>
      <c r="C703" s="9" t="s">
        <v>284</v>
      </c>
      <c r="F703" s="14"/>
      <c r="G703" s="5"/>
      <c r="H703" s="14">
        <v>111.5</v>
      </c>
      <c r="I703" s="15">
        <f>H703*(1-'[1]Discounts page'!D$15)</f>
        <v>66.899999999999991</v>
      </c>
      <c r="J703" s="55">
        <f t="shared" si="27"/>
        <v>101</v>
      </c>
    </row>
    <row r="704" spans="1:10" ht="18.75" x14ac:dyDescent="0.3">
      <c r="A704" s="8" t="s">
        <v>419</v>
      </c>
      <c r="B704" s="9" t="s">
        <v>420</v>
      </c>
      <c r="C704" s="9" t="s">
        <v>284</v>
      </c>
      <c r="F704" s="14"/>
      <c r="G704" s="5"/>
      <c r="H704" s="14">
        <v>223</v>
      </c>
      <c r="I704" s="15">
        <f>H704*(1-'[1]Discounts page'!D$15)</f>
        <v>133.79999999999998</v>
      </c>
      <c r="J704" s="55">
        <f t="shared" si="27"/>
        <v>201</v>
      </c>
    </row>
    <row r="705" spans="1:10" ht="18.75" x14ac:dyDescent="0.3">
      <c r="A705" s="8" t="s">
        <v>421</v>
      </c>
      <c r="B705" s="9" t="s">
        <v>422</v>
      </c>
      <c r="C705" s="9" t="s">
        <v>284</v>
      </c>
      <c r="F705" s="14"/>
      <c r="G705" s="5"/>
      <c r="H705" s="14">
        <v>410.1</v>
      </c>
      <c r="I705" s="15">
        <f>H705*(1-'[1]Discounts page'!D$15)</f>
        <v>246.06</v>
      </c>
      <c r="J705" s="55">
        <f t="shared" si="27"/>
        <v>370</v>
      </c>
    </row>
    <row r="706" spans="1:10" ht="18.75" x14ac:dyDescent="0.3">
      <c r="A706" s="8" t="s">
        <v>423</v>
      </c>
      <c r="B706" s="9" t="s">
        <v>424</v>
      </c>
      <c r="C706" s="9" t="s">
        <v>284</v>
      </c>
      <c r="F706" s="14"/>
      <c r="G706" s="5"/>
      <c r="H706" s="14">
        <v>3569.2999999999997</v>
      </c>
      <c r="I706" s="15">
        <f>H706*(1-'[1]Discounts page'!D$15)</f>
        <v>2141.58</v>
      </c>
      <c r="J706" s="55">
        <f t="shared" si="27"/>
        <v>3213</v>
      </c>
    </row>
    <row r="707" spans="1:10" ht="18.75" x14ac:dyDescent="0.3">
      <c r="A707" s="8" t="s">
        <v>425</v>
      </c>
      <c r="B707" s="9" t="s">
        <v>426</v>
      </c>
      <c r="C707" s="9" t="s">
        <v>284</v>
      </c>
      <c r="F707" s="14"/>
      <c r="G707" s="5"/>
      <c r="H707" s="14">
        <v>75.599999999999994</v>
      </c>
      <c r="I707" s="15">
        <f>H707*(1-'[1]Discounts page'!D$15)</f>
        <v>45.359999999999992</v>
      </c>
      <c r="J707" s="55">
        <f t="shared" si="27"/>
        <v>69</v>
      </c>
    </row>
    <row r="708" spans="1:10" ht="18.75" x14ac:dyDescent="0.3">
      <c r="A708" s="8" t="s">
        <v>427</v>
      </c>
      <c r="B708" s="9" t="s">
        <v>428</v>
      </c>
      <c r="C708" s="9" t="s">
        <v>284</v>
      </c>
      <c r="F708" s="14"/>
      <c r="G708" s="5"/>
      <c r="H708" s="14">
        <v>73.399999999999991</v>
      </c>
      <c r="I708" s="15">
        <f>H708*(1-'[1]Discounts page'!D$15)</f>
        <v>44.039999999999992</v>
      </c>
      <c r="J708" s="55">
        <f t="shared" si="27"/>
        <v>67</v>
      </c>
    </row>
    <row r="709" spans="1:10" ht="18.75" x14ac:dyDescent="0.3">
      <c r="A709" s="8" t="s">
        <v>429</v>
      </c>
      <c r="B709" s="9" t="s">
        <v>430</v>
      </c>
      <c r="C709" s="9" t="s">
        <v>284</v>
      </c>
      <c r="F709" s="14"/>
      <c r="G709" s="5"/>
      <c r="H709" s="14">
        <v>146.80000000000001</v>
      </c>
      <c r="I709" s="15">
        <f>H709*(1-'[1]Discounts page'!D$15)</f>
        <v>88.08</v>
      </c>
      <c r="J709" s="55">
        <f t="shared" si="27"/>
        <v>133</v>
      </c>
    </row>
    <row r="710" spans="1:10" ht="18.75" x14ac:dyDescent="0.3">
      <c r="A710" s="8" t="s">
        <v>431</v>
      </c>
      <c r="B710" s="9" t="s">
        <v>432</v>
      </c>
      <c r="C710" s="9" t="s">
        <v>284</v>
      </c>
      <c r="F710" s="14"/>
      <c r="G710" s="5"/>
      <c r="H710" s="14">
        <v>264.90000000000003</v>
      </c>
      <c r="I710" s="15">
        <f>H710*(1-'[1]Discounts page'!D$15)</f>
        <v>158.94000000000003</v>
      </c>
      <c r="J710" s="55">
        <f t="shared" si="27"/>
        <v>239</v>
      </c>
    </row>
    <row r="711" spans="1:10" ht="18.75" x14ac:dyDescent="0.3">
      <c r="A711" s="8" t="s">
        <v>433</v>
      </c>
      <c r="B711" s="9" t="s">
        <v>434</v>
      </c>
      <c r="C711" s="9" t="s">
        <v>284</v>
      </c>
      <c r="F711" s="14"/>
      <c r="G711" s="5"/>
      <c r="H711" s="14">
        <v>2520.4</v>
      </c>
      <c r="I711" s="15">
        <f>H711*(1-'[1]Discounts page'!D$15)</f>
        <v>1512.24</v>
      </c>
      <c r="J711" s="55">
        <f t="shared" si="27"/>
        <v>2269</v>
      </c>
    </row>
    <row r="712" spans="1:10" ht="18.75" x14ac:dyDescent="0.3">
      <c r="A712" s="8" t="s">
        <v>435</v>
      </c>
      <c r="B712" s="9" t="s">
        <v>436</v>
      </c>
      <c r="C712" s="9" t="s">
        <v>284</v>
      </c>
      <c r="F712" s="14"/>
      <c r="G712" s="5"/>
      <c r="H712" s="14">
        <v>28.900000000000002</v>
      </c>
      <c r="I712" s="15">
        <f>H712*(1-'[1]Discounts page'!D$15)</f>
        <v>17.34</v>
      </c>
      <c r="J712" s="55">
        <f t="shared" si="27"/>
        <v>27</v>
      </c>
    </row>
    <row r="713" spans="1:10" ht="18.75" x14ac:dyDescent="0.3">
      <c r="A713" s="8" t="s">
        <v>437</v>
      </c>
      <c r="B713" s="9" t="s">
        <v>438</v>
      </c>
      <c r="C713" s="9" t="s">
        <v>284</v>
      </c>
      <c r="F713" s="14"/>
      <c r="G713" s="5"/>
      <c r="H713" s="14">
        <v>119.3</v>
      </c>
      <c r="I713" s="15">
        <f>H713*(1-'[1]Discounts page'!D$15)</f>
        <v>71.58</v>
      </c>
      <c r="J713" s="55">
        <f t="shared" si="27"/>
        <v>108</v>
      </c>
    </row>
    <row r="714" spans="1:10" ht="18.75" x14ac:dyDescent="0.3">
      <c r="A714" s="8" t="s">
        <v>439</v>
      </c>
      <c r="B714" s="9" t="s">
        <v>440</v>
      </c>
      <c r="C714" s="9" t="s">
        <v>284</v>
      </c>
      <c r="F714" s="14"/>
      <c r="G714" s="5"/>
      <c r="H714" s="14">
        <v>455.6</v>
      </c>
      <c r="I714" s="15">
        <f>H714*(1-'[1]Discounts page'!D$15)</f>
        <v>273.36</v>
      </c>
      <c r="J714" s="55">
        <f t="shared" si="27"/>
        <v>411</v>
      </c>
    </row>
    <row r="715" spans="1:10" ht="18.75" x14ac:dyDescent="0.3">
      <c r="A715" s="8" t="s">
        <v>441</v>
      </c>
      <c r="B715" s="9" t="s">
        <v>442</v>
      </c>
      <c r="C715" s="9" t="s">
        <v>284</v>
      </c>
      <c r="F715" s="14"/>
      <c r="G715" s="5"/>
      <c r="H715" s="14">
        <v>4295.6000000000004</v>
      </c>
      <c r="I715" s="15">
        <f>H715*(1-'[1]Discounts page'!D$15)</f>
        <v>2577.36</v>
      </c>
      <c r="J715" s="55">
        <f t="shared" si="27"/>
        <v>3867</v>
      </c>
    </row>
    <row r="716" spans="1:10" ht="18.75" x14ac:dyDescent="0.3">
      <c r="A716" s="8" t="s">
        <v>443</v>
      </c>
      <c r="B716" s="9" t="s">
        <v>444</v>
      </c>
      <c r="C716" s="9" t="s">
        <v>284</v>
      </c>
      <c r="F716" s="14"/>
      <c r="G716" s="5"/>
      <c r="H716" s="14">
        <v>162.19999999999999</v>
      </c>
      <c r="I716" s="15">
        <f>H716*(1-'[1]Discounts page'!D$15)</f>
        <v>97.32</v>
      </c>
      <c r="J716" s="55">
        <f t="shared" si="27"/>
        <v>146</v>
      </c>
    </row>
    <row r="717" spans="1:10" ht="18.75" x14ac:dyDescent="0.3">
      <c r="A717" s="8" t="s">
        <v>445</v>
      </c>
      <c r="B717" s="9" t="s">
        <v>446</v>
      </c>
      <c r="C717" s="9" t="s">
        <v>284</v>
      </c>
      <c r="F717" s="14"/>
      <c r="G717" s="5"/>
      <c r="H717" s="14">
        <v>300.10000000000002</v>
      </c>
      <c r="I717" s="15">
        <f>H717*(1-'[1]Discounts page'!D$15)</f>
        <v>180.06</v>
      </c>
      <c r="J717" s="55">
        <f t="shared" si="27"/>
        <v>271</v>
      </c>
    </row>
    <row r="718" spans="1:10" ht="18.75" x14ac:dyDescent="0.3">
      <c r="A718" s="8" t="s">
        <v>447</v>
      </c>
      <c r="B718" s="9" t="s">
        <v>448</v>
      </c>
      <c r="C718" s="9" t="s">
        <v>284</v>
      </c>
      <c r="F718" s="14"/>
      <c r="G718" s="5"/>
      <c r="H718" s="14">
        <v>2809.5</v>
      </c>
      <c r="I718" s="15">
        <f>H718*(1-'[1]Discounts page'!D$15)</f>
        <v>1685.7</v>
      </c>
      <c r="J718" s="55">
        <f t="shared" si="27"/>
        <v>2529</v>
      </c>
    </row>
    <row r="719" spans="1:10" ht="18.75" x14ac:dyDescent="0.3">
      <c r="A719" s="8" t="s">
        <v>449</v>
      </c>
      <c r="B719" s="9" t="s">
        <v>450</v>
      </c>
      <c r="C719" s="9" t="s">
        <v>284</v>
      </c>
      <c r="F719" s="14"/>
      <c r="G719" s="5"/>
      <c r="H719" s="14">
        <v>21</v>
      </c>
      <c r="I719" s="15">
        <f>H719*(1-'[1]Discounts page'!D$15)</f>
        <v>12.6</v>
      </c>
      <c r="J719" s="55">
        <f t="shared" si="27"/>
        <v>19</v>
      </c>
    </row>
    <row r="720" spans="1:10" ht="18.75" x14ac:dyDescent="0.3">
      <c r="A720" s="8" t="s">
        <v>451</v>
      </c>
      <c r="B720" s="9" t="s">
        <v>452</v>
      </c>
      <c r="C720" s="9" t="s">
        <v>284</v>
      </c>
      <c r="F720" s="14"/>
      <c r="G720" s="5"/>
      <c r="H720" s="14">
        <v>65.5</v>
      </c>
      <c r="I720" s="15">
        <f>H720*(1-'[1]Discounts page'!D$15)</f>
        <v>39.299999999999997</v>
      </c>
      <c r="J720" s="55">
        <f t="shared" si="27"/>
        <v>59</v>
      </c>
    </row>
    <row r="721" spans="1:10" ht="18.75" x14ac:dyDescent="0.3">
      <c r="A721" s="8" t="s">
        <v>453</v>
      </c>
      <c r="B721" s="9" t="s">
        <v>454</v>
      </c>
      <c r="C721" s="9" t="s">
        <v>284</v>
      </c>
      <c r="F721" s="14"/>
      <c r="G721" s="5"/>
      <c r="H721" s="14">
        <v>237.1</v>
      </c>
      <c r="I721" s="15">
        <f>H721*(1-'[1]Discounts page'!D$15)</f>
        <v>142.26</v>
      </c>
      <c r="J721" s="55">
        <f t="shared" si="27"/>
        <v>214</v>
      </c>
    </row>
    <row r="722" spans="1:10" ht="18.75" x14ac:dyDescent="0.3">
      <c r="A722" s="8" t="s">
        <v>455</v>
      </c>
      <c r="B722" s="9" t="s">
        <v>456</v>
      </c>
      <c r="C722" s="9" t="s">
        <v>284</v>
      </c>
      <c r="F722" s="14"/>
      <c r="G722" s="5"/>
      <c r="H722" s="14">
        <v>2219.5</v>
      </c>
      <c r="I722" s="15">
        <f>H722*(1-'[1]Discounts page'!D$15)</f>
        <v>1331.7</v>
      </c>
      <c r="J722" s="55">
        <f t="shared" si="27"/>
        <v>1998</v>
      </c>
    </row>
    <row r="723" spans="1:10" ht="18.75" x14ac:dyDescent="0.3">
      <c r="A723" s="8" t="s">
        <v>457</v>
      </c>
      <c r="B723" s="9" t="s">
        <v>458</v>
      </c>
      <c r="C723" s="9" t="s">
        <v>284</v>
      </c>
      <c r="F723" s="14"/>
      <c r="G723" s="5"/>
      <c r="H723" s="14">
        <v>158.6</v>
      </c>
      <c r="I723" s="15">
        <f>H723*(1-'[1]Discounts page'!D$15)</f>
        <v>95.16</v>
      </c>
      <c r="J723" s="55">
        <f t="shared" si="27"/>
        <v>143</v>
      </c>
    </row>
    <row r="724" spans="1:10" ht="18.75" x14ac:dyDescent="0.3">
      <c r="A724" s="8" t="s">
        <v>459</v>
      </c>
      <c r="B724" s="9" t="s">
        <v>460</v>
      </c>
      <c r="C724" s="9" t="s">
        <v>284</v>
      </c>
      <c r="F724" s="14"/>
      <c r="G724" s="5"/>
      <c r="H724" s="14">
        <v>301.3</v>
      </c>
      <c r="I724" s="15">
        <f>H724*(1-'[1]Discounts page'!D$15)</f>
        <v>180.78</v>
      </c>
      <c r="J724" s="55">
        <f t="shared" si="27"/>
        <v>272</v>
      </c>
    </row>
    <row r="725" spans="1:10" ht="18.75" x14ac:dyDescent="0.3">
      <c r="A725" s="8" t="s">
        <v>461</v>
      </c>
      <c r="B725" s="9" t="s">
        <v>462</v>
      </c>
      <c r="C725" s="9" t="s">
        <v>284</v>
      </c>
      <c r="F725" s="14"/>
      <c r="G725" s="5"/>
      <c r="H725" s="14">
        <v>120</v>
      </c>
      <c r="I725" s="15">
        <f>H725*(1-'[1]Discounts page'!D$15)</f>
        <v>72</v>
      </c>
      <c r="J725" s="55">
        <f t="shared" si="27"/>
        <v>108</v>
      </c>
    </row>
    <row r="726" spans="1:10" ht="18.75" x14ac:dyDescent="0.3">
      <c r="A726" s="8" t="s">
        <v>463</v>
      </c>
      <c r="B726" s="9" t="s">
        <v>464</v>
      </c>
      <c r="C726" s="9" t="s">
        <v>284</v>
      </c>
      <c r="F726" s="14"/>
      <c r="G726" s="5"/>
      <c r="H726" s="14">
        <v>229.5</v>
      </c>
      <c r="I726" s="15">
        <f>H726*(1-'[1]Discounts page'!D$15)</f>
        <v>137.69999999999999</v>
      </c>
      <c r="J726" s="55">
        <f t="shared" si="27"/>
        <v>207</v>
      </c>
    </row>
    <row r="727" spans="1:10" ht="18.75" x14ac:dyDescent="0.3">
      <c r="A727" s="8" t="s">
        <v>465</v>
      </c>
      <c r="B727" s="9" t="s">
        <v>466</v>
      </c>
      <c r="C727" s="9" t="s">
        <v>284</v>
      </c>
      <c r="F727" s="14"/>
      <c r="G727" s="5"/>
      <c r="H727" s="14">
        <v>167</v>
      </c>
      <c r="I727" s="15">
        <f>H727*(1-'[1]Discounts page'!D$15)</f>
        <v>100.2</v>
      </c>
      <c r="J727" s="55">
        <f t="shared" si="27"/>
        <v>151</v>
      </c>
    </row>
    <row r="728" spans="1:10" ht="18.75" x14ac:dyDescent="0.3">
      <c r="A728" s="8" t="s">
        <v>467</v>
      </c>
      <c r="B728" s="9" t="s">
        <v>468</v>
      </c>
      <c r="C728" s="9" t="s">
        <v>284</v>
      </c>
      <c r="F728" s="14"/>
      <c r="G728" s="5"/>
      <c r="H728" s="14">
        <v>308</v>
      </c>
      <c r="I728" s="15">
        <f>H728*(1-'[1]Discounts page'!D$15)</f>
        <v>184.79999999999998</v>
      </c>
      <c r="J728" s="55">
        <f t="shared" si="27"/>
        <v>278</v>
      </c>
    </row>
    <row r="729" spans="1:10" ht="18.75" x14ac:dyDescent="0.3">
      <c r="A729" s="8" t="s">
        <v>469</v>
      </c>
      <c r="B729" s="9" t="s">
        <v>470</v>
      </c>
      <c r="C729" s="9" t="s">
        <v>284</v>
      </c>
      <c r="F729" s="14"/>
      <c r="G729" s="5"/>
      <c r="H729" s="14">
        <v>54.2</v>
      </c>
      <c r="I729" s="15">
        <f>H729*(1-'[1]Discounts page'!D$15)</f>
        <v>32.520000000000003</v>
      </c>
      <c r="J729" s="55">
        <f t="shared" si="27"/>
        <v>49</v>
      </c>
    </row>
    <row r="730" spans="1:10" ht="18.75" x14ac:dyDescent="0.3">
      <c r="A730" s="8" t="s">
        <v>471</v>
      </c>
      <c r="B730" s="9" t="s">
        <v>472</v>
      </c>
      <c r="C730" s="9" t="s">
        <v>284</v>
      </c>
      <c r="F730" s="14"/>
      <c r="G730" s="5"/>
      <c r="H730" s="14">
        <v>108.4</v>
      </c>
      <c r="I730" s="15">
        <f>H730*(1-'[1]Discounts page'!D$15)</f>
        <v>65.040000000000006</v>
      </c>
      <c r="J730" s="55">
        <f t="shared" si="27"/>
        <v>98</v>
      </c>
    </row>
    <row r="731" spans="1:10" ht="18.75" x14ac:dyDescent="0.3">
      <c r="A731" s="8" t="s">
        <v>473</v>
      </c>
      <c r="B731" s="9" t="s">
        <v>474</v>
      </c>
      <c r="C731" s="9" t="s">
        <v>284</v>
      </c>
      <c r="F731" s="14"/>
      <c r="G731" s="5"/>
      <c r="H731" s="14">
        <v>203.4</v>
      </c>
      <c r="I731" s="15">
        <f>H731*(1-'[1]Discounts page'!D$15)</f>
        <v>122.03999999999999</v>
      </c>
      <c r="J731" s="55">
        <f t="shared" si="27"/>
        <v>184</v>
      </c>
    </row>
    <row r="732" spans="1:10" ht="18.75" x14ac:dyDescent="0.3">
      <c r="A732" s="8" t="s">
        <v>475</v>
      </c>
      <c r="B732" s="9" t="s">
        <v>476</v>
      </c>
      <c r="C732" s="9" t="s">
        <v>284</v>
      </c>
      <c r="F732" s="14"/>
      <c r="G732" s="5"/>
      <c r="H732" s="14">
        <v>2085.7999999999997</v>
      </c>
      <c r="I732" s="15">
        <f>H732*(1-'[1]Discounts page'!D$15)</f>
        <v>1251.4799999999998</v>
      </c>
      <c r="J732" s="55">
        <f t="shared" si="27"/>
        <v>1878</v>
      </c>
    </row>
    <row r="733" spans="1:10" ht="18.75" x14ac:dyDescent="0.3">
      <c r="A733" s="8" t="s">
        <v>477</v>
      </c>
      <c r="B733" s="9" t="s">
        <v>478</v>
      </c>
      <c r="C733" s="9" t="s">
        <v>284</v>
      </c>
      <c r="F733" s="14"/>
      <c r="G733" s="5"/>
      <c r="H733" s="14">
        <v>6.3</v>
      </c>
      <c r="I733" s="15">
        <f>H733*(1-'[1]Discounts page'!D$15)</f>
        <v>3.78</v>
      </c>
      <c r="J733" s="55">
        <f t="shared" si="27"/>
        <v>6</v>
      </c>
    </row>
    <row r="734" spans="1:10" ht="18.75" x14ac:dyDescent="0.3">
      <c r="A734" s="8" t="s">
        <v>479</v>
      </c>
      <c r="B734" s="9" t="s">
        <v>480</v>
      </c>
      <c r="C734" s="9" t="s">
        <v>284</v>
      </c>
      <c r="F734" s="14"/>
      <c r="G734" s="5"/>
      <c r="H734" s="14">
        <v>108.4</v>
      </c>
      <c r="I734" s="15">
        <f>H734*(1-'[1]Discounts page'!D$15)</f>
        <v>65.040000000000006</v>
      </c>
      <c r="J734" s="55">
        <f t="shared" si="27"/>
        <v>98</v>
      </c>
    </row>
    <row r="735" spans="1:10" ht="18.75" x14ac:dyDescent="0.3">
      <c r="A735" s="8" t="s">
        <v>481</v>
      </c>
      <c r="B735" s="9" t="s">
        <v>482</v>
      </c>
      <c r="C735" s="9" t="s">
        <v>284</v>
      </c>
      <c r="F735" s="14"/>
      <c r="G735" s="5"/>
      <c r="H735" s="14">
        <v>203.4</v>
      </c>
      <c r="I735" s="15">
        <f>H735*(1-'[1]Discounts page'!D$15)</f>
        <v>122.03999999999999</v>
      </c>
      <c r="J735" s="55">
        <f t="shared" si="27"/>
        <v>184</v>
      </c>
    </row>
    <row r="736" spans="1:10" ht="18.75" x14ac:dyDescent="0.3">
      <c r="A736" s="8" t="s">
        <v>483</v>
      </c>
      <c r="B736" s="9" t="s">
        <v>484</v>
      </c>
      <c r="C736" s="9" t="s">
        <v>284</v>
      </c>
      <c r="F736" s="14"/>
      <c r="G736" s="5"/>
      <c r="H736" s="14">
        <v>2085.7999999999997</v>
      </c>
      <c r="I736" s="15">
        <f>H736*(1-'[1]Discounts page'!D$15)</f>
        <v>1251.4799999999998</v>
      </c>
      <c r="J736" s="55">
        <f t="shared" si="27"/>
        <v>1878</v>
      </c>
    </row>
    <row r="737" spans="1:10" ht="18.75" x14ac:dyDescent="0.3">
      <c r="A737" s="8" t="s">
        <v>485</v>
      </c>
      <c r="B737" s="9" t="s">
        <v>486</v>
      </c>
      <c r="C737" s="9" t="s">
        <v>284</v>
      </c>
      <c r="F737" s="14"/>
      <c r="G737" s="5"/>
      <c r="H737" s="14">
        <v>55.800000000000004</v>
      </c>
      <c r="I737" s="15">
        <f>H737*(1-'[1]Discounts page'!D$15)</f>
        <v>33.480000000000004</v>
      </c>
      <c r="J737" s="55">
        <f t="shared" si="27"/>
        <v>51</v>
      </c>
    </row>
    <row r="738" spans="1:10" ht="18.75" x14ac:dyDescent="0.3">
      <c r="A738" s="8" t="s">
        <v>487</v>
      </c>
      <c r="B738" s="9" t="s">
        <v>488</v>
      </c>
      <c r="C738" s="9" t="s">
        <v>284</v>
      </c>
      <c r="F738" s="14"/>
      <c r="G738" s="5"/>
      <c r="H738" s="14">
        <v>110</v>
      </c>
      <c r="I738" s="15">
        <f>H738*(1-'[1]Discounts page'!D$15)</f>
        <v>66</v>
      </c>
      <c r="J738" s="55">
        <f t="shared" si="27"/>
        <v>99</v>
      </c>
    </row>
    <row r="739" spans="1:10" ht="18.75" x14ac:dyDescent="0.3">
      <c r="A739" s="8" t="s">
        <v>489</v>
      </c>
      <c r="B739" s="9" t="s">
        <v>490</v>
      </c>
      <c r="C739" s="9" t="s">
        <v>284</v>
      </c>
      <c r="F739" s="14"/>
      <c r="G739" s="5"/>
      <c r="H739" s="14">
        <v>222.2</v>
      </c>
      <c r="I739" s="15">
        <f>H739*(1-'[1]Discounts page'!D$15)</f>
        <v>133.32</v>
      </c>
      <c r="J739" s="55">
        <f t="shared" si="27"/>
        <v>200</v>
      </c>
    </row>
    <row r="740" spans="1:10" ht="18.75" x14ac:dyDescent="0.3">
      <c r="A740" s="8" t="s">
        <v>491</v>
      </c>
      <c r="B740" s="9" t="s">
        <v>492</v>
      </c>
      <c r="C740" s="9" t="s">
        <v>284</v>
      </c>
      <c r="F740" s="14"/>
      <c r="G740" s="5"/>
      <c r="H740" s="14">
        <v>2276.9</v>
      </c>
      <c r="I740" s="15">
        <f>H740*(1-'[1]Discounts page'!D$15)</f>
        <v>1366.14</v>
      </c>
      <c r="J740" s="55">
        <f t="shared" si="27"/>
        <v>2050</v>
      </c>
    </row>
    <row r="741" spans="1:10" ht="18.75" x14ac:dyDescent="0.3">
      <c r="A741" s="8" t="s">
        <v>493</v>
      </c>
      <c r="B741" s="9" t="s">
        <v>494</v>
      </c>
      <c r="C741" s="9" t="s">
        <v>284</v>
      </c>
      <c r="F741" s="14"/>
      <c r="G741" s="5"/>
      <c r="H741" s="14">
        <v>22</v>
      </c>
      <c r="I741" s="15">
        <f>H741*(1-'[1]Discounts page'!D$15)</f>
        <v>13.2</v>
      </c>
      <c r="J741" s="55">
        <f t="shared" si="27"/>
        <v>20</v>
      </c>
    </row>
    <row r="742" spans="1:10" ht="18.75" x14ac:dyDescent="0.3">
      <c r="A742" s="8" t="s">
        <v>495</v>
      </c>
      <c r="B742" s="9" t="s">
        <v>496</v>
      </c>
      <c r="C742" s="9" t="s">
        <v>284</v>
      </c>
      <c r="F742" s="14"/>
      <c r="G742" s="5"/>
      <c r="H742" s="14">
        <v>53.4</v>
      </c>
      <c r="I742" s="15">
        <f>H742*(1-'[1]Discounts page'!D$15)</f>
        <v>32.04</v>
      </c>
      <c r="J742" s="55">
        <f t="shared" si="27"/>
        <v>49</v>
      </c>
    </row>
    <row r="743" spans="1:10" ht="18.75" x14ac:dyDescent="0.3">
      <c r="A743" s="8" t="s">
        <v>497</v>
      </c>
      <c r="B743" s="9" t="s">
        <v>498</v>
      </c>
      <c r="C743" s="9" t="s">
        <v>284</v>
      </c>
      <c r="F743" s="14"/>
      <c r="G743" s="5"/>
      <c r="H743" s="14">
        <v>88.5</v>
      </c>
      <c r="I743" s="15">
        <f>H743*(1-'[1]Discounts page'!D$15)</f>
        <v>53.1</v>
      </c>
      <c r="J743" s="55">
        <f t="shared" si="27"/>
        <v>80</v>
      </c>
    </row>
    <row r="744" spans="1:10" ht="18.75" x14ac:dyDescent="0.3">
      <c r="A744" s="8" t="s">
        <v>499</v>
      </c>
      <c r="B744" s="9" t="s">
        <v>500</v>
      </c>
      <c r="C744" s="9" t="s">
        <v>284</v>
      </c>
      <c r="F744" s="14"/>
      <c r="G744" s="5"/>
      <c r="H744" s="14">
        <v>275.20000000000005</v>
      </c>
      <c r="I744" s="15">
        <f>H744*(1-'[1]Discounts page'!D$15)</f>
        <v>165.12000000000003</v>
      </c>
      <c r="J744" s="55">
        <f t="shared" si="27"/>
        <v>248</v>
      </c>
    </row>
    <row r="745" spans="1:10" ht="18.75" x14ac:dyDescent="0.3">
      <c r="A745" s="8" t="s">
        <v>501</v>
      </c>
      <c r="B745" s="9" t="s">
        <v>502</v>
      </c>
      <c r="C745" s="9" t="s">
        <v>284</v>
      </c>
      <c r="F745" s="14"/>
      <c r="G745" s="5"/>
      <c r="H745" s="14">
        <v>246.6</v>
      </c>
      <c r="I745" s="15">
        <f>H745*(1-'[1]Discounts page'!D$15)</f>
        <v>147.95999999999998</v>
      </c>
      <c r="J745" s="55">
        <f t="shared" si="27"/>
        <v>222</v>
      </c>
    </row>
    <row r="746" spans="1:10" ht="18.75" x14ac:dyDescent="0.3">
      <c r="A746" s="8" t="s">
        <v>503</v>
      </c>
      <c r="B746" s="9" t="s">
        <v>504</v>
      </c>
      <c r="C746" s="9" t="s">
        <v>284</v>
      </c>
      <c r="F746" s="14"/>
      <c r="G746" s="5"/>
      <c r="H746" s="14">
        <v>511.8</v>
      </c>
      <c r="I746" s="15">
        <f>H746*(1-'[1]Discounts page'!D$15)</f>
        <v>307.08</v>
      </c>
      <c r="J746" s="55">
        <f t="shared" si="27"/>
        <v>461</v>
      </c>
    </row>
    <row r="747" spans="1:10" ht="18.75" x14ac:dyDescent="0.3">
      <c r="A747" s="8" t="s">
        <v>505</v>
      </c>
      <c r="B747" s="9" t="s">
        <v>506</v>
      </c>
      <c r="C747" s="9" t="s">
        <v>284</v>
      </c>
      <c r="F747" s="14"/>
      <c r="G747" s="5"/>
      <c r="H747" s="14">
        <v>1222.6999999999998</v>
      </c>
      <c r="I747" s="15">
        <f>H747*(1-'[1]Discounts page'!D$15)</f>
        <v>733.61999999999989</v>
      </c>
      <c r="J747" s="55">
        <f t="shared" si="27"/>
        <v>1101</v>
      </c>
    </row>
    <row r="748" spans="1:10" ht="18.75" x14ac:dyDescent="0.3">
      <c r="A748" s="8" t="s">
        <v>507</v>
      </c>
      <c r="B748" s="9" t="s">
        <v>508</v>
      </c>
      <c r="C748" s="9" t="s">
        <v>284</v>
      </c>
      <c r="F748" s="14"/>
      <c r="G748" s="5"/>
      <c r="H748" s="14">
        <v>9865.6</v>
      </c>
      <c r="I748" s="15">
        <f>H748*(1-'[1]Discounts page'!D$15)</f>
        <v>5919.36</v>
      </c>
      <c r="J748" s="55">
        <f t="shared" si="27"/>
        <v>8880</v>
      </c>
    </row>
    <row r="749" spans="1:10" ht="18.75" x14ac:dyDescent="0.3">
      <c r="A749" s="4"/>
      <c r="B749" s="5"/>
      <c r="C749" s="5"/>
      <c r="F749" s="14"/>
      <c r="G749" s="5"/>
      <c r="H749" s="2"/>
      <c r="I749" s="15"/>
      <c r="J749" s="55"/>
    </row>
    <row r="750" spans="1:10" ht="18.75" x14ac:dyDescent="0.3">
      <c r="A750" s="6" t="s">
        <v>509</v>
      </c>
      <c r="B750" s="5"/>
      <c r="C750" s="5"/>
      <c r="F750" s="14"/>
      <c r="G750" s="5"/>
      <c r="H750" s="14"/>
      <c r="I750" s="15"/>
      <c r="J750" s="55"/>
    </row>
    <row r="751" spans="1:10" ht="18.75" x14ac:dyDescent="0.3">
      <c r="A751" s="21" t="s">
        <v>510</v>
      </c>
      <c r="B751" s="9"/>
      <c r="C751" s="22"/>
      <c r="F751" s="10"/>
      <c r="G751" s="9"/>
      <c r="H751" s="10"/>
      <c r="I751" s="12"/>
      <c r="J751" s="55"/>
    </row>
    <row r="752" spans="1:10" ht="18.75" x14ac:dyDescent="0.3">
      <c r="A752" s="8" t="s">
        <v>511</v>
      </c>
      <c r="B752" s="9" t="s">
        <v>512</v>
      </c>
      <c r="C752" s="22" t="s">
        <v>513</v>
      </c>
      <c r="F752" s="10"/>
      <c r="G752" s="9"/>
      <c r="H752" s="10">
        <v>1230</v>
      </c>
      <c r="I752" s="12">
        <f>H752*(1-'[1]Discounts page'!D$16)</f>
        <v>922.5</v>
      </c>
      <c r="J752" s="55"/>
    </row>
    <row r="753" spans="1:10" ht="18.75" x14ac:dyDescent="0.3">
      <c r="A753" s="8" t="s">
        <v>514</v>
      </c>
      <c r="B753" s="9" t="s">
        <v>515</v>
      </c>
      <c r="C753" s="22" t="s">
        <v>513</v>
      </c>
      <c r="F753" s="10"/>
      <c r="G753" s="9"/>
      <c r="H753" s="10">
        <v>1830</v>
      </c>
      <c r="I753" s="12">
        <f>H753*(1-'[1]Discounts page'!D$16)</f>
        <v>1372.5</v>
      </c>
      <c r="J753" s="55"/>
    </row>
    <row r="754" spans="1:10" ht="18.75" x14ac:dyDescent="0.3">
      <c r="A754" s="8" t="s">
        <v>516</v>
      </c>
      <c r="B754" s="9" t="s">
        <v>517</v>
      </c>
      <c r="C754" s="22" t="s">
        <v>513</v>
      </c>
      <c r="F754" s="10"/>
      <c r="G754" s="9"/>
      <c r="H754" s="10">
        <v>2470</v>
      </c>
      <c r="I754" s="12">
        <f>H754*(1-'[1]Discounts page'!D$16)</f>
        <v>1852.5</v>
      </c>
      <c r="J754" s="55"/>
    </row>
    <row r="755" spans="1:10" ht="18.75" x14ac:dyDescent="0.3">
      <c r="A755" s="8" t="s">
        <v>518</v>
      </c>
      <c r="B755" s="9" t="s">
        <v>519</v>
      </c>
      <c r="C755" s="22" t="s">
        <v>513</v>
      </c>
      <c r="F755" s="10"/>
      <c r="G755" s="9"/>
      <c r="H755" s="10">
        <v>2740</v>
      </c>
      <c r="I755" s="12">
        <f>H755*(1-'[1]Discounts page'!D$16)</f>
        <v>2055</v>
      </c>
      <c r="J755" s="55"/>
    </row>
    <row r="756" spans="1:10" ht="18.75" x14ac:dyDescent="0.3">
      <c r="A756" s="8" t="s">
        <v>520</v>
      </c>
      <c r="B756" s="9" t="s">
        <v>521</v>
      </c>
      <c r="C756" s="22" t="s">
        <v>513</v>
      </c>
      <c r="F756" s="10"/>
      <c r="G756" s="9"/>
      <c r="H756" s="10">
        <v>3610</v>
      </c>
      <c r="I756" s="12">
        <f>H756*(1-'[1]Discounts page'!D$16)</f>
        <v>2707.5</v>
      </c>
      <c r="J756" s="55"/>
    </row>
    <row r="757" spans="1:10" ht="18.75" x14ac:dyDescent="0.3">
      <c r="A757" s="8" t="s">
        <v>522</v>
      </c>
      <c r="B757" s="9" t="s">
        <v>523</v>
      </c>
      <c r="C757" s="22" t="s">
        <v>513</v>
      </c>
      <c r="F757" s="10"/>
      <c r="G757" s="9"/>
      <c r="H757" s="10">
        <v>3780</v>
      </c>
      <c r="I757" s="12">
        <f>H757*(1-'[1]Discounts page'!D$16)</f>
        <v>2835</v>
      </c>
      <c r="J757" s="55"/>
    </row>
    <row r="758" spans="1:10" ht="18.75" x14ac:dyDescent="0.3">
      <c r="A758" s="8" t="s">
        <v>524</v>
      </c>
      <c r="B758" s="9" t="s">
        <v>525</v>
      </c>
      <c r="C758" s="22" t="s">
        <v>513</v>
      </c>
      <c r="F758" s="10"/>
      <c r="G758" s="9"/>
      <c r="H758" s="10">
        <v>4680</v>
      </c>
      <c r="I758" s="12">
        <f>H758*(1-'[1]Discounts page'!D$16)</f>
        <v>3510</v>
      </c>
      <c r="J758" s="55"/>
    </row>
    <row r="759" spans="1:10" ht="18.75" x14ac:dyDescent="0.3">
      <c r="A759" s="8" t="s">
        <v>526</v>
      </c>
      <c r="B759" s="9" t="s">
        <v>527</v>
      </c>
      <c r="C759" s="22" t="s">
        <v>513</v>
      </c>
      <c r="F759" s="10"/>
      <c r="G759" s="9"/>
      <c r="H759" s="10">
        <v>4870</v>
      </c>
      <c r="I759" s="12">
        <f>H759*(1-'[1]Discounts page'!D$16)</f>
        <v>3652.5</v>
      </c>
      <c r="J759" s="55"/>
    </row>
    <row r="760" spans="1:10" ht="18.75" x14ac:dyDescent="0.3">
      <c r="A760" s="8" t="s">
        <v>528</v>
      </c>
      <c r="B760" s="9" t="s">
        <v>529</v>
      </c>
      <c r="C760" s="22" t="s">
        <v>513</v>
      </c>
      <c r="F760" s="10"/>
      <c r="G760" s="9"/>
      <c r="H760" s="10">
        <v>8441</v>
      </c>
      <c r="I760" s="12">
        <f>H760*(1-'[1]Discounts page'!D$16)</f>
        <v>6330.75</v>
      </c>
      <c r="J760" s="55"/>
    </row>
    <row r="761" spans="1:10" ht="18.75" x14ac:dyDescent="0.3">
      <c r="A761" s="8" t="s">
        <v>530</v>
      </c>
      <c r="B761" s="9" t="s">
        <v>531</v>
      </c>
      <c r="C761" s="22" t="s">
        <v>513</v>
      </c>
      <c r="F761" s="10"/>
      <c r="G761" s="9"/>
      <c r="H761" s="10">
        <v>5340</v>
      </c>
      <c r="I761" s="12">
        <f>H761*(1-'[1]Discounts page'!D$16)</f>
        <v>4005</v>
      </c>
      <c r="J761" s="55"/>
    </row>
    <row r="762" spans="1:10" ht="18.75" x14ac:dyDescent="0.3">
      <c r="A762" s="8" t="s">
        <v>532</v>
      </c>
      <c r="B762" s="9" t="s">
        <v>533</v>
      </c>
      <c r="C762" s="22" t="s">
        <v>513</v>
      </c>
      <c r="F762" s="10"/>
      <c r="G762" s="9"/>
      <c r="H762" s="10">
        <v>8110</v>
      </c>
      <c r="I762" s="12">
        <f>H762*(1-'[1]Discounts page'!D$16)</f>
        <v>6082.5</v>
      </c>
      <c r="J762" s="55"/>
    </row>
    <row r="763" spans="1:10" ht="18.75" x14ac:dyDescent="0.3">
      <c r="A763" s="8" t="s">
        <v>534</v>
      </c>
      <c r="B763" s="9" t="s">
        <v>535</v>
      </c>
      <c r="C763" s="22" t="s">
        <v>513</v>
      </c>
      <c r="F763" s="10"/>
      <c r="G763" s="9"/>
      <c r="H763" s="10">
        <v>2970</v>
      </c>
      <c r="I763" s="12">
        <f>H763*(1-'[1]Discounts page'!D$16)</f>
        <v>2227.5</v>
      </c>
      <c r="J763" s="55"/>
    </row>
    <row r="764" spans="1:10" ht="18.75" x14ac:dyDescent="0.3">
      <c r="A764" s="8" t="s">
        <v>536</v>
      </c>
      <c r="B764" s="9" t="s">
        <v>537</v>
      </c>
      <c r="C764" s="22" t="s">
        <v>538</v>
      </c>
      <c r="F764" s="10"/>
      <c r="G764" s="9"/>
      <c r="H764" s="10">
        <v>968.80000000000007</v>
      </c>
      <c r="I764" s="12">
        <f>H764*(1-'[1]Discounts page'!D$17)</f>
        <v>726.6</v>
      </c>
      <c r="J764" s="55"/>
    </row>
    <row r="765" spans="1:10" ht="18.75" x14ac:dyDescent="0.3">
      <c r="A765" s="8" t="s">
        <v>539</v>
      </c>
      <c r="B765" s="9" t="s">
        <v>540</v>
      </c>
      <c r="C765" s="22" t="s">
        <v>538</v>
      </c>
      <c r="F765" s="10"/>
      <c r="G765" s="9"/>
      <c r="H765" s="10">
        <v>1371.8999999999999</v>
      </c>
      <c r="I765" s="12">
        <f>H765*(1-'[1]Discounts page'!D$17)</f>
        <v>1028.925</v>
      </c>
      <c r="J765" s="55"/>
    </row>
    <row r="766" spans="1:10" ht="18.75" x14ac:dyDescent="0.3">
      <c r="A766" s="8" t="s">
        <v>541</v>
      </c>
      <c r="B766" s="9" t="s">
        <v>542</v>
      </c>
      <c r="C766" s="22" t="s">
        <v>538</v>
      </c>
      <c r="F766" s="10"/>
      <c r="G766" s="9"/>
      <c r="H766" s="10">
        <v>111.6</v>
      </c>
      <c r="I766" s="12">
        <f>H766*(1-'[1]Discounts page'!D$17)</f>
        <v>83.699999999999989</v>
      </c>
      <c r="J766" s="55"/>
    </row>
    <row r="767" spans="1:10" ht="18.75" x14ac:dyDescent="0.3">
      <c r="A767" s="8" t="s">
        <v>543</v>
      </c>
      <c r="B767" s="9" t="s">
        <v>544</v>
      </c>
      <c r="C767" s="22" t="s">
        <v>538</v>
      </c>
      <c r="F767" s="10"/>
      <c r="G767" s="9"/>
      <c r="H767" s="10">
        <v>552</v>
      </c>
      <c r="I767" s="12">
        <f>H767*(1-'[1]Discounts page'!D$17)</f>
        <v>414</v>
      </c>
      <c r="J767" s="55"/>
    </row>
    <row r="768" spans="1:10" ht="18.75" x14ac:dyDescent="0.3">
      <c r="A768" s="8" t="s">
        <v>545</v>
      </c>
      <c r="B768" s="9" t="s">
        <v>546</v>
      </c>
      <c r="C768" s="22" t="s">
        <v>538</v>
      </c>
      <c r="F768" s="10" t="s">
        <v>10</v>
      </c>
      <c r="G768" s="9"/>
      <c r="H768" s="10">
        <v>992</v>
      </c>
      <c r="I768" s="12">
        <f>H768*(1-'[1]Discounts page'!D$17)</f>
        <v>744</v>
      </c>
      <c r="J768" s="55"/>
    </row>
    <row r="769" spans="1:10" ht="18.75" x14ac:dyDescent="0.3">
      <c r="A769" s="8" t="s">
        <v>547</v>
      </c>
      <c r="B769" s="9" t="s">
        <v>548</v>
      </c>
      <c r="C769" s="22" t="s">
        <v>538</v>
      </c>
      <c r="F769" s="10"/>
      <c r="G769" s="9"/>
      <c r="H769" s="10">
        <v>278</v>
      </c>
      <c r="I769" s="12">
        <f>H769*(1-'[1]Discounts page'!D$17)</f>
        <v>208.5</v>
      </c>
      <c r="J769" s="55"/>
    </row>
    <row r="770" spans="1:10" ht="18.75" x14ac:dyDescent="0.3">
      <c r="A770" s="8" t="s">
        <v>549</v>
      </c>
      <c r="B770" s="9" t="s">
        <v>550</v>
      </c>
      <c r="C770" s="22" t="s">
        <v>538</v>
      </c>
      <c r="F770" s="10"/>
      <c r="G770" s="9"/>
      <c r="H770" s="10">
        <v>1485.1999999999998</v>
      </c>
      <c r="I770" s="12">
        <f>H770*(1-'[1]Discounts page'!D$17)</f>
        <v>1113.8999999999999</v>
      </c>
      <c r="J770" s="55"/>
    </row>
    <row r="771" spans="1:10" ht="18.75" x14ac:dyDescent="0.3">
      <c r="A771" s="8" t="s">
        <v>551</v>
      </c>
      <c r="B771" s="9" t="s">
        <v>552</v>
      </c>
      <c r="C771" s="22" t="s">
        <v>538</v>
      </c>
      <c r="F771" s="10"/>
      <c r="G771" s="9"/>
      <c r="H771" s="10">
        <v>4553</v>
      </c>
      <c r="I771" s="12">
        <f>H771*(1-'[1]Discounts page'!D$17)</f>
        <v>3414.75</v>
      </c>
      <c r="J771" s="55"/>
    </row>
    <row r="772" spans="1:10" ht="18.75" x14ac:dyDescent="0.3">
      <c r="A772" s="8" t="s">
        <v>553</v>
      </c>
      <c r="B772" s="9" t="s">
        <v>554</v>
      </c>
      <c r="C772" s="22" t="s">
        <v>538</v>
      </c>
      <c r="F772" s="10"/>
      <c r="G772" s="9"/>
      <c r="H772" s="10">
        <v>1408.1999999999998</v>
      </c>
      <c r="I772" s="12">
        <f>H772*(1-'[1]Discounts page'!D$17)</f>
        <v>1056.1499999999999</v>
      </c>
      <c r="J772" s="55"/>
    </row>
    <row r="773" spans="1:10" ht="18.75" x14ac:dyDescent="0.3">
      <c r="A773" s="8" t="s">
        <v>555</v>
      </c>
      <c r="B773" s="9" t="s">
        <v>556</v>
      </c>
      <c r="C773" s="22" t="s">
        <v>538</v>
      </c>
      <c r="F773" s="10"/>
      <c r="G773" s="9"/>
      <c r="H773" s="10">
        <v>2109.7999999999997</v>
      </c>
      <c r="I773" s="12">
        <f>H773*(1-'[1]Discounts page'!D$17)</f>
        <v>1582.35</v>
      </c>
      <c r="J773" s="55"/>
    </row>
    <row r="774" spans="1:10" ht="18.75" x14ac:dyDescent="0.3">
      <c r="A774" s="8" t="s">
        <v>557</v>
      </c>
      <c r="B774" s="9" t="s">
        <v>558</v>
      </c>
      <c r="C774" s="22" t="s">
        <v>538</v>
      </c>
      <c r="F774" s="10"/>
      <c r="G774" s="9"/>
      <c r="H774" s="10">
        <v>81.599999999999994</v>
      </c>
      <c r="I774" s="12">
        <f>H774*(1-'[1]Discounts page'!D$17)</f>
        <v>61.199999999999996</v>
      </c>
      <c r="J774" s="55"/>
    </row>
    <row r="775" spans="1:10" ht="18.75" x14ac:dyDescent="0.3">
      <c r="A775" s="8" t="s">
        <v>559</v>
      </c>
      <c r="B775" s="9" t="s">
        <v>560</v>
      </c>
      <c r="C775" s="22" t="s">
        <v>538</v>
      </c>
      <c r="F775" s="10"/>
      <c r="G775" s="9"/>
      <c r="H775" s="10">
        <v>552</v>
      </c>
      <c r="I775" s="12">
        <f>H775*(1-'[1]Discounts page'!D$17)</f>
        <v>414</v>
      </c>
      <c r="J775" s="55"/>
    </row>
    <row r="776" spans="1:10" ht="18.75" x14ac:dyDescent="0.3">
      <c r="A776" s="8" t="s">
        <v>561</v>
      </c>
      <c r="B776" s="9" t="s">
        <v>562</v>
      </c>
      <c r="C776" s="22" t="s">
        <v>538</v>
      </c>
      <c r="F776" s="10"/>
      <c r="G776" s="9"/>
      <c r="H776" s="10">
        <v>53.1</v>
      </c>
      <c r="I776" s="12">
        <f>H776*(1-'[1]Discounts page'!D$17)</f>
        <v>39.825000000000003</v>
      </c>
      <c r="J776" s="55"/>
    </row>
    <row r="777" spans="1:10" ht="18.75" x14ac:dyDescent="0.3">
      <c r="A777" s="8" t="s">
        <v>563</v>
      </c>
      <c r="B777" s="9" t="s">
        <v>564</v>
      </c>
      <c r="C777" s="22" t="s">
        <v>538</v>
      </c>
      <c r="F777" s="10"/>
      <c r="G777" s="9"/>
      <c r="H777" s="10">
        <v>172.29999999999998</v>
      </c>
      <c r="I777" s="12">
        <f>H777*(1-'[1]Discounts page'!D$17)</f>
        <v>129.22499999999999</v>
      </c>
      <c r="J777" s="55"/>
    </row>
    <row r="778" spans="1:10" ht="18.75" x14ac:dyDescent="0.3">
      <c r="A778" s="8" t="s">
        <v>565</v>
      </c>
      <c r="B778" s="9" t="s">
        <v>566</v>
      </c>
      <c r="C778" s="22" t="s">
        <v>538</v>
      </c>
      <c r="F778" s="10"/>
      <c r="G778" s="9"/>
      <c r="H778" s="10">
        <v>204.2</v>
      </c>
      <c r="I778" s="12">
        <f>H778*(1-'[1]Discounts page'!D$17)</f>
        <v>153.14999999999998</v>
      </c>
      <c r="J778" s="55"/>
    </row>
    <row r="779" spans="1:10" ht="18.75" x14ac:dyDescent="0.3">
      <c r="A779" s="8" t="s">
        <v>567</v>
      </c>
      <c r="B779" s="9" t="s">
        <v>568</v>
      </c>
      <c r="C779" s="22" t="s">
        <v>538</v>
      </c>
      <c r="F779" s="10"/>
      <c r="G779" s="9"/>
      <c r="H779" s="10">
        <v>204.2</v>
      </c>
      <c r="I779" s="12">
        <f>H779*(1-'[1]Discounts page'!D$17)</f>
        <v>153.14999999999998</v>
      </c>
      <c r="J779" s="55"/>
    </row>
    <row r="780" spans="1:10" ht="18.75" x14ac:dyDescent="0.3">
      <c r="A780" s="8" t="s">
        <v>569</v>
      </c>
      <c r="B780" s="9" t="s">
        <v>570</v>
      </c>
      <c r="C780" s="22" t="s">
        <v>538</v>
      </c>
      <c r="F780" s="10"/>
      <c r="G780" s="9"/>
      <c r="H780" s="10">
        <v>7206.3</v>
      </c>
      <c r="I780" s="12">
        <f>H780*(1-'[1]Discounts page'!D$17)</f>
        <v>5404.7250000000004</v>
      </c>
      <c r="J780" s="55"/>
    </row>
    <row r="781" spans="1:10" ht="18.75" x14ac:dyDescent="0.3">
      <c r="A781" s="8" t="s">
        <v>571</v>
      </c>
      <c r="B781" s="9" t="s">
        <v>572</v>
      </c>
      <c r="C781" s="22" t="s">
        <v>538</v>
      </c>
      <c r="F781" s="10"/>
      <c r="G781" s="9"/>
      <c r="H781" s="10">
        <v>358.70000000000005</v>
      </c>
      <c r="I781" s="12">
        <f>H781*(1-'[1]Discounts page'!D$17)</f>
        <v>269.02500000000003</v>
      </c>
      <c r="J781" s="55"/>
    </row>
    <row r="782" spans="1:10" ht="18.75" x14ac:dyDescent="0.3">
      <c r="A782" s="8" t="s">
        <v>573</v>
      </c>
      <c r="B782" s="9" t="s">
        <v>574</v>
      </c>
      <c r="C782" s="22" t="s">
        <v>538</v>
      </c>
      <c r="F782" s="10"/>
      <c r="G782" s="9"/>
      <c r="H782" s="10">
        <v>111</v>
      </c>
      <c r="I782" s="12">
        <f>H782*(1-'[1]Discounts page'!D$17)</f>
        <v>83.25</v>
      </c>
      <c r="J782" s="55"/>
    </row>
    <row r="783" spans="1:10" ht="18.75" x14ac:dyDescent="0.3">
      <c r="A783" s="8" t="s">
        <v>575</v>
      </c>
      <c r="B783" s="9" t="s">
        <v>576</v>
      </c>
      <c r="C783" s="22" t="s">
        <v>538</v>
      </c>
      <c r="F783" s="10"/>
      <c r="G783" s="9"/>
      <c r="H783" s="10">
        <v>137.69999999999999</v>
      </c>
      <c r="I783" s="12">
        <f>H783*(1-'[1]Discounts page'!D$17)</f>
        <v>103.27499999999999</v>
      </c>
      <c r="J783" s="55"/>
    </row>
    <row r="784" spans="1:10" ht="18.75" x14ac:dyDescent="0.3">
      <c r="A784" s="8" t="s">
        <v>577</v>
      </c>
      <c r="B784" s="9" t="s">
        <v>578</v>
      </c>
      <c r="C784" s="22" t="s">
        <v>538</v>
      </c>
      <c r="F784" s="10"/>
      <c r="G784" s="9"/>
      <c r="H784" s="10">
        <v>151.29999999999998</v>
      </c>
      <c r="I784" s="12">
        <f>H784*(1-'[1]Discounts page'!D$17)</f>
        <v>113.47499999999999</v>
      </c>
      <c r="J784" s="55"/>
    </row>
    <row r="785" spans="1:10" ht="18.75" x14ac:dyDescent="0.3">
      <c r="A785" s="8" t="s">
        <v>579</v>
      </c>
      <c r="B785" s="9" t="s">
        <v>580</v>
      </c>
      <c r="C785" s="22" t="s">
        <v>538</v>
      </c>
      <c r="F785" s="10"/>
      <c r="G785" s="9"/>
      <c r="H785" s="10">
        <v>254.4</v>
      </c>
      <c r="I785" s="12">
        <f>H785*(1-'[1]Discounts page'!D$17)</f>
        <v>190.8</v>
      </c>
      <c r="J785" s="55"/>
    </row>
    <row r="786" spans="1:10" ht="18.75" x14ac:dyDescent="0.3">
      <c r="A786" s="8" t="s">
        <v>581</v>
      </c>
      <c r="B786" s="9" t="s">
        <v>582</v>
      </c>
      <c r="C786" s="22" t="s">
        <v>538</v>
      </c>
      <c r="F786" s="10"/>
      <c r="G786" s="9"/>
      <c r="H786" s="10">
        <v>199.1</v>
      </c>
      <c r="I786" s="12">
        <f>H786*(1-'[1]Discounts page'!D$17)</f>
        <v>149.32499999999999</v>
      </c>
      <c r="J786" s="55"/>
    </row>
    <row r="787" spans="1:10" ht="18.75" x14ac:dyDescent="0.3">
      <c r="A787" s="8" t="s">
        <v>583</v>
      </c>
      <c r="B787" s="9" t="s">
        <v>584</v>
      </c>
      <c r="C787" s="22" t="s">
        <v>538</v>
      </c>
      <c r="F787" s="10"/>
      <c r="G787" s="9"/>
      <c r="H787" s="10">
        <v>182</v>
      </c>
      <c r="I787" s="12">
        <f>H787*(1-'[1]Discounts page'!D$17)</f>
        <v>136.5</v>
      </c>
      <c r="J787" s="55"/>
    </row>
    <row r="788" spans="1:10" ht="18.75" x14ac:dyDescent="0.3">
      <c r="A788" s="8" t="s">
        <v>585</v>
      </c>
      <c r="B788" s="9" t="s">
        <v>586</v>
      </c>
      <c r="C788" s="22" t="s">
        <v>538</v>
      </c>
      <c r="F788" s="10"/>
      <c r="G788" s="9"/>
      <c r="H788" s="10">
        <v>298.5</v>
      </c>
      <c r="I788" s="12">
        <f>H788*(1-'[1]Discounts page'!D$17)</f>
        <v>223.875</v>
      </c>
      <c r="J788" s="55"/>
    </row>
    <row r="789" spans="1:10" ht="18.75" x14ac:dyDescent="0.3">
      <c r="A789" s="8" t="s">
        <v>587</v>
      </c>
      <c r="B789" s="9" t="s">
        <v>588</v>
      </c>
      <c r="C789" s="22" t="s">
        <v>538</v>
      </c>
      <c r="F789" s="10"/>
      <c r="G789" s="9"/>
      <c r="H789" s="10">
        <v>831</v>
      </c>
      <c r="I789" s="12">
        <f>H789*(1-'[1]Discounts page'!D$17)</f>
        <v>623.25</v>
      </c>
      <c r="J789" s="55"/>
    </row>
    <row r="790" spans="1:10" ht="18.75" x14ac:dyDescent="0.3">
      <c r="A790" s="8" t="s">
        <v>589</v>
      </c>
      <c r="B790" s="9" t="s">
        <v>590</v>
      </c>
      <c r="C790" s="22" t="s">
        <v>538</v>
      </c>
      <c r="F790" s="10"/>
      <c r="G790" s="9"/>
      <c r="H790" s="10">
        <v>1198</v>
      </c>
      <c r="I790" s="12">
        <f>H790*(1-'[1]Discounts page'!D$17)</f>
        <v>898.5</v>
      </c>
      <c r="J790" s="55"/>
    </row>
    <row r="791" spans="1:10" ht="18.75" x14ac:dyDescent="0.3">
      <c r="A791" s="8" t="s">
        <v>591</v>
      </c>
      <c r="B791" s="9" t="s">
        <v>592</v>
      </c>
      <c r="C791" s="22" t="s">
        <v>538</v>
      </c>
      <c r="F791" s="10"/>
      <c r="G791" s="9"/>
      <c r="H791" s="10">
        <v>274.70000000000005</v>
      </c>
      <c r="I791" s="12">
        <f>H791*(1-'[1]Discounts page'!D$17)</f>
        <v>206.02500000000003</v>
      </c>
      <c r="J791" s="55"/>
    </row>
    <row r="792" spans="1:10" ht="18.75" x14ac:dyDescent="0.3">
      <c r="A792" s="8" t="s">
        <v>593</v>
      </c>
      <c r="B792" s="9" t="s">
        <v>594</v>
      </c>
      <c r="C792" s="22" t="s">
        <v>538</v>
      </c>
      <c r="F792" s="10"/>
      <c r="G792" s="9"/>
      <c r="H792" s="10">
        <v>293.3</v>
      </c>
      <c r="I792" s="12">
        <f>H792*(1-'[1]Discounts page'!D$17)</f>
        <v>219.97500000000002</v>
      </c>
      <c r="J792" s="55"/>
    </row>
    <row r="793" spans="1:10" ht="18.75" x14ac:dyDescent="0.3">
      <c r="A793" s="8" t="s">
        <v>595</v>
      </c>
      <c r="B793" s="9" t="s">
        <v>596</v>
      </c>
      <c r="C793" s="22" t="s">
        <v>538</v>
      </c>
      <c r="F793" s="10"/>
      <c r="G793" s="9"/>
      <c r="H793" s="10">
        <v>99.8</v>
      </c>
      <c r="I793" s="12">
        <f>H793*(1-'[1]Discounts page'!D$17)</f>
        <v>74.849999999999994</v>
      </c>
      <c r="J793" s="55"/>
    </row>
    <row r="794" spans="1:10" ht="18.75" x14ac:dyDescent="0.3">
      <c r="A794" s="8" t="s">
        <v>597</v>
      </c>
      <c r="B794" s="9" t="s">
        <v>598</v>
      </c>
      <c r="C794" s="22" t="s">
        <v>538</v>
      </c>
      <c r="F794" s="10"/>
      <c r="G794" s="9"/>
      <c r="H794" s="10">
        <v>209.2</v>
      </c>
      <c r="I794" s="12">
        <f>H794*(1-'[1]Discounts page'!D$17)</f>
        <v>156.89999999999998</v>
      </c>
      <c r="J794" s="55"/>
    </row>
    <row r="795" spans="1:10" ht="18.75" x14ac:dyDescent="0.3">
      <c r="A795" s="8" t="s">
        <v>599</v>
      </c>
      <c r="B795" s="9" t="s">
        <v>600</v>
      </c>
      <c r="C795" s="22" t="s">
        <v>538</v>
      </c>
      <c r="F795" s="10"/>
      <c r="G795" s="9"/>
      <c r="H795" s="10">
        <v>217.5</v>
      </c>
      <c r="I795" s="12">
        <f>H795*(1-'[1]Discounts page'!D$17)</f>
        <v>163.125</v>
      </c>
      <c r="J795" s="55"/>
    </row>
    <row r="796" spans="1:10" ht="18.75" x14ac:dyDescent="0.3">
      <c r="A796" s="8" t="s">
        <v>601</v>
      </c>
      <c r="B796" s="9" t="s">
        <v>602</v>
      </c>
      <c r="C796" s="22" t="s">
        <v>538</v>
      </c>
      <c r="F796" s="10"/>
      <c r="G796" s="9"/>
      <c r="H796" s="10">
        <v>565.4</v>
      </c>
      <c r="I796" s="12">
        <f>H796*(1-'[1]Discounts page'!D$17)</f>
        <v>424.04999999999995</v>
      </c>
      <c r="J796" s="55"/>
    </row>
    <row r="797" spans="1:10" ht="18.75" x14ac:dyDescent="0.3">
      <c r="A797" s="5"/>
      <c r="B797" s="5"/>
      <c r="C797" s="5"/>
      <c r="F797" s="14"/>
      <c r="G797" s="5"/>
      <c r="H797" s="14"/>
      <c r="I797" s="15"/>
      <c r="J797" s="55"/>
    </row>
    <row r="798" spans="1:10" ht="18.75" x14ac:dyDescent="0.3">
      <c r="A798" s="17" t="s">
        <v>603</v>
      </c>
      <c r="B798" s="5"/>
      <c r="C798" s="5"/>
      <c r="F798" s="14"/>
      <c r="G798" s="5"/>
      <c r="H798" s="14"/>
      <c r="I798" s="15"/>
      <c r="J798" s="55"/>
    </row>
    <row r="799" spans="1:10" ht="18.75" x14ac:dyDescent="0.3">
      <c r="A799" s="16" t="s">
        <v>604</v>
      </c>
      <c r="B799" s="9"/>
      <c r="C799" s="9"/>
      <c r="F799" s="10"/>
      <c r="G799" s="9"/>
      <c r="H799" s="10"/>
      <c r="I799" s="12"/>
      <c r="J799" s="55"/>
    </row>
    <row r="800" spans="1:10" ht="18.75" x14ac:dyDescent="0.3">
      <c r="A800" s="23">
        <v>1905012030</v>
      </c>
      <c r="B800" s="9" t="s">
        <v>605</v>
      </c>
      <c r="C800" s="9" t="s">
        <v>606</v>
      </c>
      <c r="F800" s="10"/>
      <c r="G800" s="9"/>
      <c r="H800" s="10">
        <v>66.7</v>
      </c>
      <c r="I800" s="12">
        <f>H800*(1-'[1]Discounts page'!D$18)</f>
        <v>36.685000000000002</v>
      </c>
      <c r="J800" s="55">
        <f t="shared" ref="J800:J824" si="28">ROUNDUP(I800*1.5,0)</f>
        <v>56</v>
      </c>
    </row>
    <row r="801" spans="1:10" ht="18.75" x14ac:dyDescent="0.3">
      <c r="A801" s="24">
        <v>1905012050</v>
      </c>
      <c r="B801" s="9" t="s">
        <v>607</v>
      </c>
      <c r="C801" s="9" t="s">
        <v>606</v>
      </c>
      <c r="F801" s="10"/>
      <c r="G801" s="9"/>
      <c r="H801" s="10">
        <v>89.7</v>
      </c>
      <c r="I801" s="12">
        <f>H801*(1-'[1]Discounts page'!D$18)</f>
        <v>49.335000000000008</v>
      </c>
      <c r="J801" s="55">
        <f t="shared" si="28"/>
        <v>75</v>
      </c>
    </row>
    <row r="802" spans="1:10" ht="18.75" x14ac:dyDescent="0.3">
      <c r="A802" s="24">
        <v>1905013030</v>
      </c>
      <c r="B802" s="9" t="s">
        <v>608</v>
      </c>
      <c r="C802" s="9" t="s">
        <v>606</v>
      </c>
      <c r="F802" s="10"/>
      <c r="G802" s="9"/>
      <c r="H802" s="10">
        <v>66.7</v>
      </c>
      <c r="I802" s="12">
        <f>H802*(1-'[1]Discounts page'!D$18)</f>
        <v>36.685000000000002</v>
      </c>
      <c r="J802" s="55">
        <f t="shared" si="28"/>
        <v>56</v>
      </c>
    </row>
    <row r="803" spans="1:10" ht="18.75" x14ac:dyDescent="0.3">
      <c r="A803" s="24">
        <v>1905013050</v>
      </c>
      <c r="B803" s="9" t="s">
        <v>609</v>
      </c>
      <c r="C803" s="9" t="s">
        <v>606</v>
      </c>
      <c r="F803" s="10"/>
      <c r="G803" s="9"/>
      <c r="H803" s="10">
        <v>89.7</v>
      </c>
      <c r="I803" s="12">
        <f>H803*(1-'[1]Discounts page'!D$18)</f>
        <v>49.335000000000008</v>
      </c>
      <c r="J803" s="55">
        <f t="shared" si="28"/>
        <v>75</v>
      </c>
    </row>
    <row r="804" spans="1:10" ht="18.75" x14ac:dyDescent="0.3">
      <c r="A804" s="24">
        <v>1905014030</v>
      </c>
      <c r="B804" s="9" t="s">
        <v>610</v>
      </c>
      <c r="C804" s="9" t="s">
        <v>606</v>
      </c>
      <c r="F804" s="10"/>
      <c r="G804" s="9"/>
      <c r="H804" s="10">
        <v>66.7</v>
      </c>
      <c r="I804" s="12">
        <f>H804*(1-'[1]Discounts page'!D$18)</f>
        <v>36.685000000000002</v>
      </c>
      <c r="J804" s="55">
        <f t="shared" si="28"/>
        <v>56</v>
      </c>
    </row>
    <row r="805" spans="1:10" ht="18.75" x14ac:dyDescent="0.3">
      <c r="A805" s="24">
        <v>1905014050</v>
      </c>
      <c r="B805" s="9" t="s">
        <v>611</v>
      </c>
      <c r="C805" s="9" t="s">
        <v>606</v>
      </c>
      <c r="F805" s="10"/>
      <c r="G805" s="9"/>
      <c r="H805" s="10">
        <v>89.7</v>
      </c>
      <c r="I805" s="12">
        <f>H805*(1-'[1]Discounts page'!D$18)</f>
        <v>49.335000000000008</v>
      </c>
      <c r="J805" s="55">
        <f t="shared" si="28"/>
        <v>75</v>
      </c>
    </row>
    <row r="806" spans="1:10" ht="18.75" x14ac:dyDescent="0.3">
      <c r="A806" s="24">
        <v>1905015030</v>
      </c>
      <c r="B806" s="9" t="s">
        <v>612</v>
      </c>
      <c r="C806" s="9" t="s">
        <v>606</v>
      </c>
      <c r="F806" s="10"/>
      <c r="G806" s="9"/>
      <c r="H806" s="10">
        <v>70.3</v>
      </c>
      <c r="I806" s="12">
        <f>H806*(1-'[1]Discounts page'!D$18)</f>
        <v>38.664999999999999</v>
      </c>
      <c r="J806" s="55">
        <f t="shared" si="28"/>
        <v>58</v>
      </c>
    </row>
    <row r="807" spans="1:10" ht="18.75" x14ac:dyDescent="0.3">
      <c r="A807" s="24">
        <v>1905015050</v>
      </c>
      <c r="B807" s="9" t="s">
        <v>613</v>
      </c>
      <c r="C807" s="9" t="s">
        <v>606</v>
      </c>
      <c r="F807" s="10"/>
      <c r="G807" s="9"/>
      <c r="H807" s="10">
        <v>94.199999999999989</v>
      </c>
      <c r="I807" s="12">
        <f>H807*(1-'[1]Discounts page'!D$18)</f>
        <v>51.809999999999995</v>
      </c>
      <c r="J807" s="55">
        <f t="shared" si="28"/>
        <v>78</v>
      </c>
    </row>
    <row r="808" spans="1:10" ht="18.75" x14ac:dyDescent="0.3">
      <c r="A808" s="24">
        <v>1905016030</v>
      </c>
      <c r="B808" s="9" t="s">
        <v>614</v>
      </c>
      <c r="C808" s="9" t="s">
        <v>606</v>
      </c>
      <c r="F808" s="10"/>
      <c r="G808" s="9"/>
      <c r="H808" s="10">
        <v>70.3</v>
      </c>
      <c r="I808" s="12">
        <f>H808*(1-'[1]Discounts page'!D$18)</f>
        <v>38.664999999999999</v>
      </c>
      <c r="J808" s="55">
        <f t="shared" si="28"/>
        <v>58</v>
      </c>
    </row>
    <row r="809" spans="1:10" ht="18.75" x14ac:dyDescent="0.3">
      <c r="A809" s="24">
        <v>1905016050</v>
      </c>
      <c r="B809" s="9" t="s">
        <v>615</v>
      </c>
      <c r="C809" s="9" t="s">
        <v>606</v>
      </c>
      <c r="F809" s="10"/>
      <c r="G809" s="9"/>
      <c r="H809" s="10">
        <v>94.199999999999989</v>
      </c>
      <c r="I809" s="12">
        <f>H809*(1-'[1]Discounts page'!D$18)</f>
        <v>51.809999999999995</v>
      </c>
      <c r="J809" s="55">
        <f t="shared" si="28"/>
        <v>78</v>
      </c>
    </row>
    <row r="810" spans="1:10" ht="18.75" x14ac:dyDescent="0.3">
      <c r="A810" s="24">
        <v>1905017030</v>
      </c>
      <c r="B810" s="9" t="s">
        <v>616</v>
      </c>
      <c r="C810" s="9" t="s">
        <v>606</v>
      </c>
      <c r="F810" s="10"/>
      <c r="G810" s="9"/>
      <c r="H810" s="10">
        <v>73.899999999999991</v>
      </c>
      <c r="I810" s="12">
        <f>H810*(1-'[1]Discounts page'!D$18)</f>
        <v>40.644999999999996</v>
      </c>
      <c r="J810" s="55">
        <f t="shared" si="28"/>
        <v>61</v>
      </c>
    </row>
    <row r="811" spans="1:10" ht="18.75" x14ac:dyDescent="0.3">
      <c r="A811" s="24">
        <v>1905017050</v>
      </c>
      <c r="B811" s="9" t="s">
        <v>617</v>
      </c>
      <c r="C811" s="9" t="s">
        <v>606</v>
      </c>
      <c r="F811" s="10"/>
      <c r="G811" s="9"/>
      <c r="H811" s="10">
        <v>98.8</v>
      </c>
      <c r="I811" s="12">
        <f>H811*(1-'[1]Discounts page'!D$18)</f>
        <v>54.34</v>
      </c>
      <c r="J811" s="55">
        <f t="shared" si="28"/>
        <v>82</v>
      </c>
    </row>
    <row r="812" spans="1:10" ht="18.75" x14ac:dyDescent="0.3">
      <c r="A812" s="24">
        <v>1905018030</v>
      </c>
      <c r="B812" s="9" t="s">
        <v>618</v>
      </c>
      <c r="C812" s="9" t="s">
        <v>606</v>
      </c>
      <c r="F812" s="10"/>
      <c r="G812" s="9"/>
      <c r="H812" s="10">
        <v>73.899999999999991</v>
      </c>
      <c r="I812" s="12">
        <f>H812*(1-'[1]Discounts page'!D$18)</f>
        <v>40.644999999999996</v>
      </c>
      <c r="J812" s="55">
        <f t="shared" si="28"/>
        <v>61</v>
      </c>
    </row>
    <row r="813" spans="1:10" ht="18.75" x14ac:dyDescent="0.3">
      <c r="A813" s="24">
        <v>1905018050</v>
      </c>
      <c r="B813" s="9" t="s">
        <v>619</v>
      </c>
      <c r="C813" s="9" t="s">
        <v>606</v>
      </c>
      <c r="F813" s="10"/>
      <c r="G813" s="9"/>
      <c r="H813" s="10">
        <v>101.1</v>
      </c>
      <c r="I813" s="12">
        <f>H813*(1-'[1]Discounts page'!D$18)</f>
        <v>55.605000000000004</v>
      </c>
      <c r="J813" s="55">
        <f t="shared" si="28"/>
        <v>84</v>
      </c>
    </row>
    <row r="814" spans="1:10" ht="18.75" x14ac:dyDescent="0.3">
      <c r="A814" s="24">
        <v>1905019030</v>
      </c>
      <c r="B814" s="9" t="s">
        <v>620</v>
      </c>
      <c r="C814" s="9" t="s">
        <v>606</v>
      </c>
      <c r="F814" s="10"/>
      <c r="G814" s="9"/>
      <c r="H814" s="10">
        <v>82.699999999999989</v>
      </c>
      <c r="I814" s="12">
        <f>H814*(1-'[1]Discounts page'!D$18)</f>
        <v>45.484999999999999</v>
      </c>
      <c r="J814" s="55">
        <f t="shared" si="28"/>
        <v>69</v>
      </c>
    </row>
    <row r="815" spans="1:10" ht="18.75" x14ac:dyDescent="0.3">
      <c r="A815" s="24">
        <v>1905019050</v>
      </c>
      <c r="B815" s="9" t="s">
        <v>621</v>
      </c>
      <c r="C815" s="9" t="s">
        <v>606</v>
      </c>
      <c r="F815" s="10"/>
      <c r="G815" s="9"/>
      <c r="H815" s="10">
        <v>101.1</v>
      </c>
      <c r="I815" s="12">
        <f>H815*(1-'[1]Discounts page'!D$18)</f>
        <v>55.605000000000004</v>
      </c>
      <c r="J815" s="55">
        <f t="shared" si="28"/>
        <v>84</v>
      </c>
    </row>
    <row r="816" spans="1:10" ht="18.75" x14ac:dyDescent="0.3">
      <c r="A816" s="24">
        <v>1905020030</v>
      </c>
      <c r="B816" s="9" t="s">
        <v>622</v>
      </c>
      <c r="C816" s="9" t="s">
        <v>606</v>
      </c>
      <c r="F816" s="10"/>
      <c r="G816" s="9"/>
      <c r="H816" s="10">
        <v>82.699999999999989</v>
      </c>
      <c r="I816" s="12">
        <f>H816*(1-'[1]Discounts page'!D$18)</f>
        <v>45.484999999999999</v>
      </c>
      <c r="J816" s="55">
        <f t="shared" si="28"/>
        <v>69</v>
      </c>
    </row>
    <row r="817" spans="1:10" ht="18.75" x14ac:dyDescent="0.3">
      <c r="A817" s="24">
        <v>1905020050</v>
      </c>
      <c r="B817" s="9" t="s">
        <v>623</v>
      </c>
      <c r="C817" s="9" t="s">
        <v>606</v>
      </c>
      <c r="F817" s="10"/>
      <c r="G817" s="9"/>
      <c r="H817" s="10">
        <v>109.19999999999999</v>
      </c>
      <c r="I817" s="12">
        <f>H817*(1-'[1]Discounts page'!D$18)</f>
        <v>60.059999999999995</v>
      </c>
      <c r="J817" s="55">
        <f t="shared" si="28"/>
        <v>91</v>
      </c>
    </row>
    <row r="818" spans="1:10" ht="18.75" x14ac:dyDescent="0.3">
      <c r="A818" s="24">
        <v>1905021030</v>
      </c>
      <c r="B818" s="9" t="s">
        <v>624</v>
      </c>
      <c r="C818" s="9" t="s">
        <v>606</v>
      </c>
      <c r="F818" s="10"/>
      <c r="G818" s="9"/>
      <c r="H818" s="10">
        <v>87.4</v>
      </c>
      <c r="I818" s="12">
        <f>H818*(1-'[1]Discounts page'!D$18)</f>
        <v>48.070000000000007</v>
      </c>
      <c r="J818" s="55">
        <f t="shared" si="28"/>
        <v>73</v>
      </c>
    </row>
    <row r="819" spans="1:10" ht="18.75" x14ac:dyDescent="0.3">
      <c r="A819" s="24">
        <v>1905021050</v>
      </c>
      <c r="B819" s="9" t="s">
        <v>625</v>
      </c>
      <c r="C819" s="9" t="s">
        <v>606</v>
      </c>
      <c r="F819" s="10"/>
      <c r="G819" s="9"/>
      <c r="H819" s="10">
        <v>113.69999999999999</v>
      </c>
      <c r="I819" s="12">
        <f>H819*(1-'[1]Discounts page'!D$18)</f>
        <v>62.534999999999997</v>
      </c>
      <c r="J819" s="55">
        <f t="shared" si="28"/>
        <v>94</v>
      </c>
    </row>
    <row r="820" spans="1:10" ht="18.75" x14ac:dyDescent="0.3">
      <c r="A820" s="24">
        <v>1905022030</v>
      </c>
      <c r="B820" s="9" t="s">
        <v>626</v>
      </c>
      <c r="C820" s="9" t="s">
        <v>606</v>
      </c>
      <c r="F820" s="10"/>
      <c r="G820" s="9"/>
      <c r="H820" s="10">
        <v>87.4</v>
      </c>
      <c r="I820" s="12">
        <f>H820*(1-'[1]Discounts page'!D$18)</f>
        <v>48.070000000000007</v>
      </c>
      <c r="J820" s="55">
        <f t="shared" si="28"/>
        <v>73</v>
      </c>
    </row>
    <row r="821" spans="1:10" ht="18.75" x14ac:dyDescent="0.3">
      <c r="A821" s="24">
        <v>1905022050</v>
      </c>
      <c r="B821" s="9" t="s">
        <v>627</v>
      </c>
      <c r="C821" s="9" t="s">
        <v>606</v>
      </c>
      <c r="F821" s="10"/>
      <c r="G821" s="9"/>
      <c r="H821" s="10">
        <v>117.1</v>
      </c>
      <c r="I821" s="12">
        <f>H821*(1-'[1]Discounts page'!D$18)</f>
        <v>64.405000000000001</v>
      </c>
      <c r="J821" s="55">
        <f t="shared" si="28"/>
        <v>97</v>
      </c>
    </row>
    <row r="822" spans="1:10" ht="18.75" x14ac:dyDescent="0.3">
      <c r="A822" s="24">
        <v>1905023030</v>
      </c>
      <c r="B822" s="9" t="s">
        <v>628</v>
      </c>
      <c r="C822" s="9" t="s">
        <v>606</v>
      </c>
      <c r="F822" s="10"/>
      <c r="G822" s="9"/>
      <c r="H822" s="10">
        <v>93.1</v>
      </c>
      <c r="I822" s="12">
        <f>H822*(1-'[1]Discounts page'!D$18)</f>
        <v>51.204999999999998</v>
      </c>
      <c r="J822" s="55">
        <f t="shared" si="28"/>
        <v>77</v>
      </c>
    </row>
    <row r="823" spans="1:10" ht="18.75" x14ac:dyDescent="0.3">
      <c r="A823" s="24">
        <v>1905023050</v>
      </c>
      <c r="B823" s="9" t="s">
        <v>629</v>
      </c>
      <c r="C823" s="9" t="s">
        <v>606</v>
      </c>
      <c r="F823" s="10"/>
      <c r="G823" s="9"/>
      <c r="H823" s="10">
        <v>118.19999999999999</v>
      </c>
      <c r="I823" s="12">
        <f>H823*(1-'[1]Discounts page'!D$18)</f>
        <v>65.010000000000005</v>
      </c>
      <c r="J823" s="55">
        <f t="shared" si="28"/>
        <v>98</v>
      </c>
    </row>
    <row r="824" spans="1:10" ht="18.75" x14ac:dyDescent="0.3">
      <c r="A824" s="24">
        <v>1905024030</v>
      </c>
      <c r="B824" s="9" t="s">
        <v>630</v>
      </c>
      <c r="C824" s="9" t="s">
        <v>606</v>
      </c>
      <c r="F824" s="10"/>
      <c r="G824" s="9"/>
      <c r="H824" s="10">
        <v>93.1</v>
      </c>
      <c r="I824" s="12">
        <f>H824*(1-'[1]Discounts page'!D$18)</f>
        <v>51.204999999999998</v>
      </c>
      <c r="J824" s="55">
        <f t="shared" si="28"/>
        <v>77</v>
      </c>
    </row>
    <row r="825" spans="1:10" ht="18.75" x14ac:dyDescent="0.3">
      <c r="A825" s="24">
        <v>1905024050</v>
      </c>
      <c r="B825" s="9" t="s">
        <v>631</v>
      </c>
      <c r="C825" s="9" t="s">
        <v>606</v>
      </c>
      <c r="F825" s="10"/>
      <c r="G825" s="9"/>
      <c r="H825" s="10">
        <v>123</v>
      </c>
      <c r="I825" s="12">
        <f>H825*(1-'[1]Discounts page'!D$18)</f>
        <v>67.650000000000006</v>
      </c>
      <c r="J825" s="55">
        <f t="shared" ref="J825:J887" si="29">ROUNDUP(I825*1.5,0)</f>
        <v>102</v>
      </c>
    </row>
    <row r="826" spans="1:10" ht="18.75" x14ac:dyDescent="0.3">
      <c r="A826" s="24">
        <v>1905025030</v>
      </c>
      <c r="B826" s="9" t="s">
        <v>632</v>
      </c>
      <c r="C826" s="9" t="s">
        <v>606</v>
      </c>
      <c r="F826" s="10"/>
      <c r="G826" s="9"/>
      <c r="H826" s="10">
        <v>98.8</v>
      </c>
      <c r="I826" s="12">
        <f>H826*(1-'[1]Discounts page'!D$18)</f>
        <v>54.34</v>
      </c>
      <c r="J826" s="55">
        <f t="shared" si="29"/>
        <v>82</v>
      </c>
    </row>
    <row r="827" spans="1:10" ht="18.75" x14ac:dyDescent="0.3">
      <c r="A827" s="24">
        <v>1905025050</v>
      </c>
      <c r="B827" s="9" t="s">
        <v>633</v>
      </c>
      <c r="C827" s="9" t="s">
        <v>606</v>
      </c>
      <c r="F827" s="10"/>
      <c r="G827" s="9"/>
      <c r="H827" s="10">
        <v>126.3</v>
      </c>
      <c r="I827" s="12">
        <f>H827*(1-'[1]Discounts page'!D$18)</f>
        <v>69.465000000000003</v>
      </c>
      <c r="J827" s="55">
        <f t="shared" si="29"/>
        <v>105</v>
      </c>
    </row>
    <row r="828" spans="1:10" ht="18.75" x14ac:dyDescent="0.3">
      <c r="A828" s="24">
        <v>1905026030</v>
      </c>
      <c r="B828" s="9" t="s">
        <v>634</v>
      </c>
      <c r="C828" s="9" t="s">
        <v>606</v>
      </c>
      <c r="F828" s="10"/>
      <c r="G828" s="9"/>
      <c r="H828" s="10">
        <v>98.8</v>
      </c>
      <c r="I828" s="12">
        <f>H828*(1-'[1]Discounts page'!D$18)</f>
        <v>54.34</v>
      </c>
      <c r="J828" s="55">
        <f t="shared" si="29"/>
        <v>82</v>
      </c>
    </row>
    <row r="829" spans="1:10" ht="18.75" x14ac:dyDescent="0.3">
      <c r="A829" s="24">
        <v>1905026050</v>
      </c>
      <c r="B829" s="9" t="s">
        <v>635</v>
      </c>
      <c r="C829" s="9" t="s">
        <v>606</v>
      </c>
      <c r="F829" s="10"/>
      <c r="G829" s="9"/>
      <c r="H829" s="10">
        <v>132.1</v>
      </c>
      <c r="I829" s="12">
        <f>H829*(1-'[1]Discounts page'!D$18)</f>
        <v>72.655000000000001</v>
      </c>
      <c r="J829" s="55">
        <f t="shared" si="29"/>
        <v>109</v>
      </c>
    </row>
    <row r="830" spans="1:10" ht="18.75" x14ac:dyDescent="0.3">
      <c r="A830" s="24">
        <v>1905027030</v>
      </c>
      <c r="B830" s="9" t="s">
        <v>636</v>
      </c>
      <c r="C830" s="9" t="s">
        <v>606</v>
      </c>
      <c r="F830" s="10"/>
      <c r="G830" s="9"/>
      <c r="H830" s="10">
        <v>105.69999999999999</v>
      </c>
      <c r="I830" s="12">
        <f>H830*(1-'[1]Discounts page'!D$18)</f>
        <v>58.134999999999998</v>
      </c>
      <c r="J830" s="55">
        <f t="shared" si="29"/>
        <v>88</v>
      </c>
    </row>
    <row r="831" spans="1:10" ht="18.75" x14ac:dyDescent="0.3">
      <c r="A831" s="24">
        <v>1905027050</v>
      </c>
      <c r="B831" s="9" t="s">
        <v>637</v>
      </c>
      <c r="C831" s="9" t="s">
        <v>606</v>
      </c>
      <c r="F831" s="10"/>
      <c r="G831" s="9"/>
      <c r="H831" s="10">
        <v>137.5</v>
      </c>
      <c r="I831" s="12">
        <f>H831*(1-'[1]Discounts page'!D$18)</f>
        <v>75.625</v>
      </c>
      <c r="J831" s="55">
        <f t="shared" si="29"/>
        <v>114</v>
      </c>
    </row>
    <row r="832" spans="1:10" ht="18.75" x14ac:dyDescent="0.3">
      <c r="A832" s="24">
        <v>1905028030</v>
      </c>
      <c r="B832" s="9" t="s">
        <v>638</v>
      </c>
      <c r="C832" s="9" t="s">
        <v>606</v>
      </c>
      <c r="F832" s="10"/>
      <c r="G832" s="9"/>
      <c r="H832" s="10">
        <v>111.5</v>
      </c>
      <c r="I832" s="12">
        <f>H832*(1-'[1]Discounts page'!D$18)</f>
        <v>61.325000000000003</v>
      </c>
      <c r="J832" s="55">
        <f t="shared" si="29"/>
        <v>92</v>
      </c>
    </row>
    <row r="833" spans="1:10" ht="18.75" x14ac:dyDescent="0.3">
      <c r="A833" s="24">
        <v>1905028050</v>
      </c>
      <c r="B833" s="9" t="s">
        <v>639</v>
      </c>
      <c r="C833" s="9" t="s">
        <v>606</v>
      </c>
      <c r="F833" s="10"/>
      <c r="G833" s="9"/>
      <c r="H833" s="10">
        <v>145.6</v>
      </c>
      <c r="I833" s="12">
        <f>H833*(1-'[1]Discounts page'!D$18)</f>
        <v>80.08</v>
      </c>
      <c r="J833" s="55">
        <f t="shared" si="29"/>
        <v>121</v>
      </c>
    </row>
    <row r="834" spans="1:10" ht="18.75" x14ac:dyDescent="0.3">
      <c r="A834" s="24">
        <v>1905029030</v>
      </c>
      <c r="B834" s="9" t="s">
        <v>640</v>
      </c>
      <c r="C834" s="9" t="s">
        <v>606</v>
      </c>
      <c r="F834" s="10"/>
      <c r="G834" s="9"/>
      <c r="H834" s="10">
        <v>117.1</v>
      </c>
      <c r="I834" s="12">
        <f>H834*(1-'[1]Discounts page'!D$18)</f>
        <v>64.405000000000001</v>
      </c>
      <c r="J834" s="55">
        <f t="shared" si="29"/>
        <v>97</v>
      </c>
    </row>
    <row r="835" spans="1:10" ht="18.75" x14ac:dyDescent="0.3">
      <c r="A835" s="24">
        <v>1905029050</v>
      </c>
      <c r="B835" s="9" t="s">
        <v>641</v>
      </c>
      <c r="C835" s="9" t="s">
        <v>606</v>
      </c>
      <c r="F835" s="10"/>
      <c r="G835" s="9"/>
      <c r="H835" s="10">
        <v>152.79999999999998</v>
      </c>
      <c r="I835" s="12">
        <f>H835*(1-'[1]Discounts page'!D$18)</f>
        <v>84.039999999999992</v>
      </c>
      <c r="J835" s="55">
        <f t="shared" si="29"/>
        <v>127</v>
      </c>
    </row>
    <row r="836" spans="1:10" ht="18.75" x14ac:dyDescent="0.3">
      <c r="A836" s="24">
        <v>1905030030</v>
      </c>
      <c r="B836" s="9" t="s">
        <v>642</v>
      </c>
      <c r="C836" s="9" t="s">
        <v>606</v>
      </c>
      <c r="F836" s="10"/>
      <c r="G836" s="9"/>
      <c r="H836" s="10">
        <v>123</v>
      </c>
      <c r="I836" s="12">
        <f>H836*(1-'[1]Discounts page'!D$18)</f>
        <v>67.650000000000006</v>
      </c>
      <c r="J836" s="55">
        <f t="shared" si="29"/>
        <v>102</v>
      </c>
    </row>
    <row r="837" spans="1:10" ht="18.75" x14ac:dyDescent="0.3">
      <c r="A837" s="24">
        <v>1905030050</v>
      </c>
      <c r="B837" s="9" t="s">
        <v>643</v>
      </c>
      <c r="C837" s="9" t="s">
        <v>606</v>
      </c>
      <c r="F837" s="10"/>
      <c r="G837" s="9"/>
      <c r="H837" s="10">
        <v>160.69999999999999</v>
      </c>
      <c r="I837" s="12">
        <f>H837*(1-'[1]Discounts page'!D$18)</f>
        <v>88.385000000000005</v>
      </c>
      <c r="J837" s="55">
        <f t="shared" si="29"/>
        <v>133</v>
      </c>
    </row>
    <row r="838" spans="1:10" ht="18.75" x14ac:dyDescent="0.3">
      <c r="A838" s="24">
        <v>1905031030</v>
      </c>
      <c r="B838" s="9" t="s">
        <v>644</v>
      </c>
      <c r="C838" s="9" t="s">
        <v>606</v>
      </c>
      <c r="F838" s="10"/>
      <c r="G838" s="9"/>
      <c r="H838" s="10">
        <v>128.80000000000001</v>
      </c>
      <c r="I838" s="12">
        <f>H838*(1-'[1]Discounts page'!D$18)</f>
        <v>70.840000000000018</v>
      </c>
      <c r="J838" s="55">
        <f t="shared" si="29"/>
        <v>107</v>
      </c>
    </row>
    <row r="839" spans="1:10" ht="18.75" x14ac:dyDescent="0.3">
      <c r="A839" s="24">
        <v>1905031050</v>
      </c>
      <c r="B839" s="9" t="s">
        <v>645</v>
      </c>
      <c r="C839" s="9" t="s">
        <v>606</v>
      </c>
      <c r="F839" s="10"/>
      <c r="G839" s="9"/>
      <c r="H839" s="10">
        <v>168.6</v>
      </c>
      <c r="I839" s="12">
        <f>H839*(1-'[1]Discounts page'!D$18)</f>
        <v>92.73</v>
      </c>
      <c r="J839" s="55">
        <f t="shared" si="29"/>
        <v>140</v>
      </c>
    </row>
    <row r="840" spans="1:10" ht="18.75" x14ac:dyDescent="0.3">
      <c r="A840" s="24">
        <v>1905032030</v>
      </c>
      <c r="B840" s="9" t="s">
        <v>646</v>
      </c>
      <c r="C840" s="9" t="s">
        <v>606</v>
      </c>
      <c r="F840" s="10"/>
      <c r="G840" s="9"/>
      <c r="H840" s="10">
        <v>134.4</v>
      </c>
      <c r="I840" s="12">
        <f>H840*(1-'[1]Discounts page'!D$18)</f>
        <v>73.920000000000016</v>
      </c>
      <c r="J840" s="55">
        <f t="shared" si="29"/>
        <v>111</v>
      </c>
    </row>
    <row r="841" spans="1:10" ht="18.75" x14ac:dyDescent="0.3">
      <c r="A841" s="24">
        <v>1905032050</v>
      </c>
      <c r="B841" s="9" t="s">
        <v>647</v>
      </c>
      <c r="C841" s="9" t="s">
        <v>606</v>
      </c>
      <c r="F841" s="10"/>
      <c r="G841" s="9"/>
      <c r="H841" s="10">
        <v>176.7</v>
      </c>
      <c r="I841" s="12">
        <f>H841*(1-'[1]Discounts page'!D$18)</f>
        <v>97.185000000000002</v>
      </c>
      <c r="J841" s="55">
        <f t="shared" si="29"/>
        <v>146</v>
      </c>
    </row>
    <row r="842" spans="1:10" ht="18.75" x14ac:dyDescent="0.3">
      <c r="A842" s="24">
        <v>1905033030</v>
      </c>
      <c r="B842" s="9" t="s">
        <v>648</v>
      </c>
      <c r="C842" s="9" t="s">
        <v>606</v>
      </c>
      <c r="F842" s="10"/>
      <c r="G842" s="9"/>
      <c r="H842" s="10">
        <v>140.9</v>
      </c>
      <c r="I842" s="12">
        <f>H842*(1-'[1]Discounts page'!D$18)</f>
        <v>77.495000000000005</v>
      </c>
      <c r="J842" s="55">
        <f t="shared" si="29"/>
        <v>117</v>
      </c>
    </row>
    <row r="843" spans="1:10" ht="18.75" x14ac:dyDescent="0.3">
      <c r="A843" s="24">
        <v>1905033050</v>
      </c>
      <c r="B843" s="9" t="s">
        <v>649</v>
      </c>
      <c r="C843" s="9" t="s">
        <v>606</v>
      </c>
      <c r="F843" s="10"/>
      <c r="G843" s="9"/>
      <c r="H843" s="10">
        <v>185.5</v>
      </c>
      <c r="I843" s="12">
        <f>H843*(1-'[1]Discounts page'!D$18)</f>
        <v>102.02500000000001</v>
      </c>
      <c r="J843" s="55">
        <f t="shared" si="29"/>
        <v>154</v>
      </c>
    </row>
    <row r="844" spans="1:10" ht="18.75" x14ac:dyDescent="0.3">
      <c r="A844" s="24">
        <v>1905034030</v>
      </c>
      <c r="B844" s="9" t="s">
        <v>650</v>
      </c>
      <c r="C844" s="9" t="s">
        <v>606</v>
      </c>
      <c r="F844" s="10"/>
      <c r="G844" s="9"/>
      <c r="H844" s="10">
        <v>147.9</v>
      </c>
      <c r="I844" s="12">
        <f>H844*(1-'[1]Discounts page'!D$18)</f>
        <v>81.345000000000013</v>
      </c>
      <c r="J844" s="55">
        <f t="shared" si="29"/>
        <v>123</v>
      </c>
    </row>
    <row r="845" spans="1:10" ht="18.75" x14ac:dyDescent="0.3">
      <c r="A845" s="24">
        <v>1905034050</v>
      </c>
      <c r="B845" s="9" t="s">
        <v>651</v>
      </c>
      <c r="C845" s="9" t="s">
        <v>606</v>
      </c>
      <c r="F845" s="10"/>
      <c r="G845" s="9"/>
      <c r="H845" s="10">
        <v>193.7</v>
      </c>
      <c r="I845" s="12">
        <f>H845*(1-'[1]Discounts page'!D$18)</f>
        <v>106.535</v>
      </c>
      <c r="J845" s="55">
        <f t="shared" si="29"/>
        <v>160</v>
      </c>
    </row>
    <row r="846" spans="1:10" ht="18.75" x14ac:dyDescent="0.3">
      <c r="A846" s="24">
        <v>1905035030</v>
      </c>
      <c r="B846" s="9" t="s">
        <v>652</v>
      </c>
      <c r="C846" s="9" t="s">
        <v>606</v>
      </c>
      <c r="F846" s="10"/>
      <c r="G846" s="9"/>
      <c r="H846" s="10">
        <v>153.5</v>
      </c>
      <c r="I846" s="12">
        <f>H846*(1-'[1]Discounts page'!D$18)</f>
        <v>84.425000000000011</v>
      </c>
      <c r="J846" s="55">
        <f t="shared" si="29"/>
        <v>127</v>
      </c>
    </row>
    <row r="847" spans="1:10" ht="18.75" x14ac:dyDescent="0.3">
      <c r="A847" s="24">
        <v>1905035050</v>
      </c>
      <c r="B847" s="9" t="s">
        <v>653</v>
      </c>
      <c r="C847" s="9" t="s">
        <v>606</v>
      </c>
      <c r="F847" s="10"/>
      <c r="G847" s="9"/>
      <c r="H847" s="10">
        <v>201.6</v>
      </c>
      <c r="I847" s="12">
        <f>H847*(1-'[1]Discounts page'!D$18)</f>
        <v>110.88000000000001</v>
      </c>
      <c r="J847" s="55">
        <f t="shared" si="29"/>
        <v>167</v>
      </c>
    </row>
    <row r="848" spans="1:10" ht="18.75" x14ac:dyDescent="0.3">
      <c r="A848" s="24">
        <v>1905036030</v>
      </c>
      <c r="B848" s="9" t="s">
        <v>654</v>
      </c>
      <c r="C848" s="9" t="s">
        <v>606</v>
      </c>
      <c r="F848" s="10"/>
      <c r="G848" s="9"/>
      <c r="H848" s="10">
        <v>159.4</v>
      </c>
      <c r="I848" s="12">
        <f>H848*(1-'[1]Discounts page'!D$18)</f>
        <v>87.670000000000016</v>
      </c>
      <c r="J848" s="55">
        <f t="shared" si="29"/>
        <v>132</v>
      </c>
    </row>
    <row r="849" spans="1:10" ht="18.75" x14ac:dyDescent="0.3">
      <c r="A849" s="24">
        <v>1905036050</v>
      </c>
      <c r="B849" s="9" t="s">
        <v>655</v>
      </c>
      <c r="C849" s="9" t="s">
        <v>606</v>
      </c>
      <c r="F849" s="10"/>
      <c r="G849" s="9"/>
      <c r="H849" s="10">
        <v>212</v>
      </c>
      <c r="I849" s="12">
        <f>H849*(1-'[1]Discounts page'!D$18)</f>
        <v>116.60000000000001</v>
      </c>
      <c r="J849" s="55">
        <f t="shared" si="29"/>
        <v>175</v>
      </c>
    </row>
    <row r="850" spans="1:10" ht="18.75" x14ac:dyDescent="0.3">
      <c r="A850" s="24">
        <v>1905037030</v>
      </c>
      <c r="B850" s="9" t="s">
        <v>656</v>
      </c>
      <c r="C850" s="9" t="s">
        <v>606</v>
      </c>
      <c r="F850" s="10"/>
      <c r="G850" s="9"/>
      <c r="H850" s="10">
        <v>166.2</v>
      </c>
      <c r="I850" s="12">
        <f>H850*(1-'[1]Discounts page'!D$18)</f>
        <v>91.41</v>
      </c>
      <c r="J850" s="55">
        <f t="shared" si="29"/>
        <v>138</v>
      </c>
    </row>
    <row r="851" spans="1:10" ht="18.75" x14ac:dyDescent="0.3">
      <c r="A851" s="24">
        <v>1905037050</v>
      </c>
      <c r="B851" s="9" t="s">
        <v>657</v>
      </c>
      <c r="C851" s="9" t="s">
        <v>606</v>
      </c>
      <c r="F851" s="10"/>
      <c r="G851" s="9"/>
      <c r="H851" s="10">
        <v>220.29999999999998</v>
      </c>
      <c r="I851" s="12">
        <f>H851*(1-'[1]Discounts page'!D$18)</f>
        <v>121.16500000000001</v>
      </c>
      <c r="J851" s="55">
        <f t="shared" si="29"/>
        <v>182</v>
      </c>
    </row>
    <row r="852" spans="1:10" ht="18.75" x14ac:dyDescent="0.3">
      <c r="A852" s="24">
        <v>1905038030</v>
      </c>
      <c r="B852" s="9" t="s">
        <v>658</v>
      </c>
      <c r="C852" s="9" t="s">
        <v>606</v>
      </c>
      <c r="F852" s="10"/>
      <c r="G852" s="9"/>
      <c r="H852" s="10">
        <v>173</v>
      </c>
      <c r="I852" s="12">
        <f>H852*(1-'[1]Discounts page'!D$18)</f>
        <v>95.15</v>
      </c>
      <c r="J852" s="55">
        <f t="shared" si="29"/>
        <v>143</v>
      </c>
    </row>
    <row r="853" spans="1:10" ht="18.75" x14ac:dyDescent="0.3">
      <c r="A853" s="24">
        <v>1905038050</v>
      </c>
      <c r="B853" s="9" t="s">
        <v>659</v>
      </c>
      <c r="C853" s="9" t="s">
        <v>606</v>
      </c>
      <c r="F853" s="10"/>
      <c r="G853" s="9"/>
      <c r="H853" s="10">
        <v>229.1</v>
      </c>
      <c r="I853" s="12">
        <f>H853*(1-'[1]Discounts page'!D$18)</f>
        <v>126.00500000000001</v>
      </c>
      <c r="J853" s="55">
        <f t="shared" si="29"/>
        <v>190</v>
      </c>
    </row>
    <row r="854" spans="1:10" ht="18.75" x14ac:dyDescent="0.3">
      <c r="A854" s="24">
        <v>1905039030</v>
      </c>
      <c r="B854" s="9" t="s">
        <v>660</v>
      </c>
      <c r="C854" s="9" t="s">
        <v>606</v>
      </c>
      <c r="F854" s="10"/>
      <c r="G854" s="9"/>
      <c r="H854" s="10">
        <v>179.9</v>
      </c>
      <c r="I854" s="12">
        <f>H854*(1-'[1]Discounts page'!D$18)</f>
        <v>98.945000000000007</v>
      </c>
      <c r="J854" s="55">
        <f t="shared" si="29"/>
        <v>149</v>
      </c>
    </row>
    <row r="855" spans="1:10" ht="18.75" x14ac:dyDescent="0.3">
      <c r="A855" s="24">
        <v>1905039050</v>
      </c>
      <c r="B855" s="9" t="s">
        <v>661</v>
      </c>
      <c r="C855" s="9" t="s">
        <v>606</v>
      </c>
      <c r="F855" s="10"/>
      <c r="G855" s="9"/>
      <c r="H855" s="10">
        <v>232.7</v>
      </c>
      <c r="I855" s="12">
        <f>H855*(1-'[1]Discounts page'!D$18)</f>
        <v>127.985</v>
      </c>
      <c r="J855" s="55">
        <f t="shared" si="29"/>
        <v>192</v>
      </c>
    </row>
    <row r="856" spans="1:10" ht="18.75" x14ac:dyDescent="0.3">
      <c r="A856" s="24">
        <v>1905040030</v>
      </c>
      <c r="B856" s="9" t="s">
        <v>662</v>
      </c>
      <c r="C856" s="9" t="s">
        <v>606</v>
      </c>
      <c r="F856" s="10"/>
      <c r="G856" s="9"/>
      <c r="H856" s="10">
        <v>185.5</v>
      </c>
      <c r="I856" s="12">
        <f>H856*(1-'[1]Discounts page'!D$18)</f>
        <v>102.02500000000001</v>
      </c>
      <c r="J856" s="55">
        <f t="shared" si="29"/>
        <v>154</v>
      </c>
    </row>
    <row r="857" spans="1:10" ht="18.75" x14ac:dyDescent="0.3">
      <c r="A857" s="24">
        <v>1905040050</v>
      </c>
      <c r="B857" s="9" t="s">
        <v>663</v>
      </c>
      <c r="C857" s="9" t="s">
        <v>606</v>
      </c>
      <c r="F857" s="10"/>
      <c r="G857" s="9"/>
      <c r="H857" s="10">
        <v>240.6</v>
      </c>
      <c r="I857" s="12">
        <f>H857*(1-'[1]Discounts page'!D$18)</f>
        <v>132.33000000000001</v>
      </c>
      <c r="J857" s="55">
        <f t="shared" si="29"/>
        <v>199</v>
      </c>
    </row>
    <row r="858" spans="1:10" ht="18.75" x14ac:dyDescent="0.3">
      <c r="A858" s="24">
        <v>1905041030</v>
      </c>
      <c r="B858" s="9" t="s">
        <v>664</v>
      </c>
      <c r="C858" s="9" t="s">
        <v>606</v>
      </c>
      <c r="F858" s="10"/>
      <c r="G858" s="9"/>
      <c r="H858" s="10">
        <v>192.6</v>
      </c>
      <c r="I858" s="12">
        <f>H858*(1-'[1]Discounts page'!D$18)</f>
        <v>105.93</v>
      </c>
      <c r="J858" s="55">
        <f t="shared" si="29"/>
        <v>159</v>
      </c>
    </row>
    <row r="859" spans="1:10" ht="18.75" x14ac:dyDescent="0.3">
      <c r="A859" s="24">
        <v>1905041050</v>
      </c>
      <c r="B859" s="9" t="s">
        <v>665</v>
      </c>
      <c r="C859" s="9" t="s">
        <v>606</v>
      </c>
      <c r="F859" s="10"/>
      <c r="G859" s="9"/>
      <c r="H859" s="10">
        <v>259</v>
      </c>
      <c r="I859" s="12">
        <f>H859*(1-'[1]Discounts page'!D$18)</f>
        <v>142.45000000000002</v>
      </c>
      <c r="J859" s="55">
        <f t="shared" si="29"/>
        <v>214</v>
      </c>
    </row>
    <row r="860" spans="1:10" ht="18.75" x14ac:dyDescent="0.3">
      <c r="A860" s="24">
        <v>1905042030</v>
      </c>
      <c r="B860" s="9" t="s">
        <v>666</v>
      </c>
      <c r="C860" s="9" t="s">
        <v>606</v>
      </c>
      <c r="F860" s="10"/>
      <c r="G860" s="9"/>
      <c r="H860" s="10">
        <v>200.6</v>
      </c>
      <c r="I860" s="12">
        <f>H860*(1-'[1]Discounts page'!D$18)</f>
        <v>110.33000000000001</v>
      </c>
      <c r="J860" s="55">
        <f t="shared" si="29"/>
        <v>166</v>
      </c>
    </row>
    <row r="861" spans="1:10" ht="18.75" x14ac:dyDescent="0.3">
      <c r="A861" s="24">
        <v>1905042050</v>
      </c>
      <c r="B861" s="9" t="s">
        <v>667</v>
      </c>
      <c r="C861" s="9" t="s">
        <v>606</v>
      </c>
      <c r="F861" s="10"/>
      <c r="G861" s="9"/>
      <c r="H861" s="10">
        <v>267.90000000000003</v>
      </c>
      <c r="I861" s="12">
        <f>H861*(1-'[1]Discounts page'!D$18)</f>
        <v>147.34500000000003</v>
      </c>
      <c r="J861" s="55">
        <f t="shared" si="29"/>
        <v>222</v>
      </c>
    </row>
    <row r="862" spans="1:10" ht="18.75" x14ac:dyDescent="0.3">
      <c r="A862" s="24">
        <v>1905043030</v>
      </c>
      <c r="B862" s="9" t="s">
        <v>668</v>
      </c>
      <c r="C862" s="9" t="s">
        <v>606</v>
      </c>
      <c r="F862" s="10"/>
      <c r="G862" s="9"/>
      <c r="H862" s="10">
        <v>207.29999999999998</v>
      </c>
      <c r="I862" s="12">
        <f>H862*(1-'[1]Discounts page'!D$18)</f>
        <v>114.015</v>
      </c>
      <c r="J862" s="55">
        <f t="shared" si="29"/>
        <v>172</v>
      </c>
    </row>
    <row r="863" spans="1:10" ht="18.75" x14ac:dyDescent="0.3">
      <c r="A863" s="24">
        <v>1905043050</v>
      </c>
      <c r="B863" s="9" t="s">
        <v>669</v>
      </c>
      <c r="C863" s="9" t="s">
        <v>606</v>
      </c>
      <c r="F863" s="10"/>
      <c r="G863" s="9"/>
      <c r="H863" s="10">
        <v>279.40000000000003</v>
      </c>
      <c r="I863" s="12">
        <f>H863*(1-'[1]Discounts page'!D$18)</f>
        <v>153.67000000000004</v>
      </c>
      <c r="J863" s="55">
        <f t="shared" si="29"/>
        <v>231</v>
      </c>
    </row>
    <row r="864" spans="1:10" ht="18.75" x14ac:dyDescent="0.3">
      <c r="A864" s="24">
        <v>1905044030</v>
      </c>
      <c r="B864" s="9" t="s">
        <v>670</v>
      </c>
      <c r="C864" s="9" t="s">
        <v>606</v>
      </c>
      <c r="F864" s="10"/>
      <c r="G864" s="9"/>
      <c r="H864" s="10">
        <v>216.5</v>
      </c>
      <c r="I864" s="12">
        <f>H864*(1-'[1]Discounts page'!D$18)</f>
        <v>119.075</v>
      </c>
      <c r="J864" s="55">
        <f t="shared" si="29"/>
        <v>179</v>
      </c>
    </row>
    <row r="865" spans="1:10" ht="18.75" x14ac:dyDescent="0.3">
      <c r="A865" s="24">
        <v>1905044050</v>
      </c>
      <c r="B865" s="9" t="s">
        <v>671</v>
      </c>
      <c r="C865" s="9" t="s">
        <v>606</v>
      </c>
      <c r="F865" s="10"/>
      <c r="G865" s="9"/>
      <c r="H865" s="10">
        <v>290.70000000000005</v>
      </c>
      <c r="I865" s="12">
        <f>H865*(1-'[1]Discounts page'!D$18)</f>
        <v>159.88500000000005</v>
      </c>
      <c r="J865" s="55">
        <f t="shared" si="29"/>
        <v>240</v>
      </c>
    </row>
    <row r="866" spans="1:10" ht="18.75" x14ac:dyDescent="0.3">
      <c r="A866" s="24">
        <v>1905045030</v>
      </c>
      <c r="B866" s="9" t="s">
        <v>672</v>
      </c>
      <c r="C866" s="9" t="s">
        <v>606</v>
      </c>
      <c r="F866" s="10"/>
      <c r="G866" s="9"/>
      <c r="H866" s="10">
        <v>223.4</v>
      </c>
      <c r="I866" s="12">
        <f>H866*(1-'[1]Discounts page'!D$18)</f>
        <v>122.87000000000002</v>
      </c>
      <c r="J866" s="55">
        <f t="shared" si="29"/>
        <v>185</v>
      </c>
    </row>
    <row r="867" spans="1:10" ht="18.75" x14ac:dyDescent="0.3">
      <c r="A867" s="24">
        <v>1905045050</v>
      </c>
      <c r="B867" s="9" t="s">
        <v>673</v>
      </c>
      <c r="C867" s="9" t="s">
        <v>606</v>
      </c>
      <c r="F867" s="10"/>
      <c r="G867" s="9"/>
      <c r="H867" s="10">
        <v>298.70000000000005</v>
      </c>
      <c r="I867" s="12">
        <f>H867*(1-'[1]Discounts page'!D$18)</f>
        <v>164.28500000000003</v>
      </c>
      <c r="J867" s="55">
        <f t="shared" si="29"/>
        <v>247</v>
      </c>
    </row>
    <row r="868" spans="1:10" ht="18.75" x14ac:dyDescent="0.3">
      <c r="A868" s="24">
        <v>1905046030</v>
      </c>
      <c r="B868" s="9" t="s">
        <v>674</v>
      </c>
      <c r="C868" s="9" t="s">
        <v>606</v>
      </c>
      <c r="F868" s="10"/>
      <c r="G868" s="9"/>
      <c r="H868" s="10">
        <v>229.1</v>
      </c>
      <c r="I868" s="12">
        <f>H868*(1-'[1]Discounts page'!D$18)</f>
        <v>126.00500000000001</v>
      </c>
      <c r="J868" s="55">
        <f t="shared" si="29"/>
        <v>190</v>
      </c>
    </row>
    <row r="869" spans="1:10" ht="18.75" x14ac:dyDescent="0.3">
      <c r="A869" s="24">
        <v>1905046050</v>
      </c>
      <c r="B869" s="9" t="s">
        <v>675</v>
      </c>
      <c r="C869" s="9" t="s">
        <v>606</v>
      </c>
      <c r="F869" s="10"/>
      <c r="G869" s="9"/>
      <c r="H869" s="10">
        <v>311.40000000000003</v>
      </c>
      <c r="I869" s="12">
        <f>H869*(1-'[1]Discounts page'!D$18)</f>
        <v>171.27000000000004</v>
      </c>
      <c r="J869" s="55">
        <f t="shared" si="29"/>
        <v>257</v>
      </c>
    </row>
    <row r="870" spans="1:10" ht="18.75" x14ac:dyDescent="0.3">
      <c r="A870" s="24">
        <v>1905047030</v>
      </c>
      <c r="B870" s="9" t="s">
        <v>676</v>
      </c>
      <c r="C870" s="9" t="s">
        <v>606</v>
      </c>
      <c r="F870" s="10"/>
      <c r="G870" s="9"/>
      <c r="H870" s="10">
        <v>236.9</v>
      </c>
      <c r="I870" s="12">
        <f>H870*(1-'[1]Discounts page'!D$18)</f>
        <v>130.29500000000002</v>
      </c>
      <c r="J870" s="55">
        <f t="shared" si="29"/>
        <v>196</v>
      </c>
    </row>
    <row r="871" spans="1:10" ht="18.75" x14ac:dyDescent="0.3">
      <c r="A871" s="24">
        <v>1905047050</v>
      </c>
      <c r="B871" s="9" t="s">
        <v>677</v>
      </c>
      <c r="C871" s="9" t="s">
        <v>606</v>
      </c>
      <c r="F871" s="10"/>
      <c r="G871" s="9"/>
      <c r="H871" s="10">
        <v>320.8</v>
      </c>
      <c r="I871" s="12">
        <f>H871*(1-'[1]Discounts page'!D$18)</f>
        <v>176.44000000000003</v>
      </c>
      <c r="J871" s="55">
        <f t="shared" si="29"/>
        <v>265</v>
      </c>
    </row>
    <row r="872" spans="1:10" ht="18.75" x14ac:dyDescent="0.3">
      <c r="A872" s="24">
        <v>1905048030</v>
      </c>
      <c r="B872" s="9" t="s">
        <v>678</v>
      </c>
      <c r="C872" s="9" t="s">
        <v>606</v>
      </c>
      <c r="F872" s="10"/>
      <c r="G872" s="9"/>
      <c r="H872" s="10">
        <v>245.1</v>
      </c>
      <c r="I872" s="12">
        <f>H872*(1-'[1]Discounts page'!D$18)</f>
        <v>134.80500000000001</v>
      </c>
      <c r="J872" s="55">
        <f t="shared" si="29"/>
        <v>203</v>
      </c>
    </row>
    <row r="873" spans="1:10" ht="18.75" x14ac:dyDescent="0.3">
      <c r="A873" s="24">
        <v>1905048050</v>
      </c>
      <c r="B873" s="9" t="s">
        <v>679</v>
      </c>
      <c r="C873" s="9" t="s">
        <v>606</v>
      </c>
      <c r="F873" s="10"/>
      <c r="G873" s="9"/>
      <c r="H873" s="10">
        <v>333.1</v>
      </c>
      <c r="I873" s="12">
        <f>H873*(1-'[1]Discounts page'!D$18)</f>
        <v>183.20500000000004</v>
      </c>
      <c r="J873" s="55">
        <f t="shared" si="29"/>
        <v>275</v>
      </c>
    </row>
    <row r="874" spans="1:10" ht="18.75" x14ac:dyDescent="0.3">
      <c r="A874" s="24">
        <v>1905049030</v>
      </c>
      <c r="B874" s="9" t="s">
        <v>680</v>
      </c>
      <c r="C874" s="9" t="s">
        <v>606</v>
      </c>
      <c r="F874" s="10"/>
      <c r="G874" s="9"/>
      <c r="H874" s="10">
        <v>252.9</v>
      </c>
      <c r="I874" s="12">
        <f>H874*(1-'[1]Discounts page'!D$18)</f>
        <v>139.09500000000003</v>
      </c>
      <c r="J874" s="55">
        <f t="shared" si="29"/>
        <v>209</v>
      </c>
    </row>
    <row r="875" spans="1:10" ht="18.75" x14ac:dyDescent="0.3">
      <c r="A875" s="24">
        <v>1905049050</v>
      </c>
      <c r="B875" s="9" t="s">
        <v>681</v>
      </c>
      <c r="C875" s="9" t="s">
        <v>606</v>
      </c>
      <c r="F875" s="10"/>
      <c r="G875" s="9"/>
      <c r="H875" s="10">
        <v>344.5</v>
      </c>
      <c r="I875" s="12">
        <f>H875*(1-'[1]Discounts page'!D$18)</f>
        <v>189.47500000000002</v>
      </c>
      <c r="J875" s="55">
        <f t="shared" si="29"/>
        <v>285</v>
      </c>
    </row>
    <row r="876" spans="1:10" ht="18.75" x14ac:dyDescent="0.3">
      <c r="A876" s="24">
        <v>1905050030</v>
      </c>
      <c r="B876" s="9" t="s">
        <v>682</v>
      </c>
      <c r="C876" s="9" t="s">
        <v>606</v>
      </c>
      <c r="F876" s="10"/>
      <c r="G876" s="9"/>
      <c r="H876" s="10">
        <v>261</v>
      </c>
      <c r="I876" s="12">
        <f>H876*(1-'[1]Discounts page'!D$18)</f>
        <v>143.55000000000001</v>
      </c>
      <c r="J876" s="55">
        <f t="shared" si="29"/>
        <v>216</v>
      </c>
    </row>
    <row r="877" spans="1:10" ht="18.75" x14ac:dyDescent="0.3">
      <c r="A877" s="24">
        <v>1905050050</v>
      </c>
      <c r="B877" s="9" t="s">
        <v>683</v>
      </c>
      <c r="C877" s="9" t="s">
        <v>606</v>
      </c>
      <c r="F877" s="10"/>
      <c r="G877" s="9"/>
      <c r="H877" s="10">
        <v>353.70000000000005</v>
      </c>
      <c r="I877" s="12">
        <f>H877*(1-'[1]Discounts page'!D$18)</f>
        <v>194.53500000000005</v>
      </c>
      <c r="J877" s="55">
        <f t="shared" si="29"/>
        <v>292</v>
      </c>
    </row>
    <row r="878" spans="1:10" ht="18.75" x14ac:dyDescent="0.3">
      <c r="A878" s="24">
        <v>1905051050</v>
      </c>
      <c r="B878" s="9" t="s">
        <v>684</v>
      </c>
      <c r="C878" s="9" t="s">
        <v>606</v>
      </c>
      <c r="F878" s="10"/>
      <c r="G878" s="9"/>
      <c r="H878" s="10">
        <v>364.8</v>
      </c>
      <c r="I878" s="12">
        <f>H878*(1-'[1]Discounts page'!D$18)</f>
        <v>200.64000000000001</v>
      </c>
      <c r="J878" s="55">
        <f t="shared" si="29"/>
        <v>301</v>
      </c>
    </row>
    <row r="879" spans="1:10" ht="18.75" x14ac:dyDescent="0.3">
      <c r="A879" s="24">
        <v>1905052050</v>
      </c>
      <c r="B879" s="9" t="s">
        <v>685</v>
      </c>
      <c r="C879" s="9" t="s">
        <v>606</v>
      </c>
      <c r="F879" s="10"/>
      <c r="G879" s="9"/>
      <c r="H879" s="10">
        <v>377.6</v>
      </c>
      <c r="I879" s="12">
        <f>H879*(1-'[1]Discounts page'!D$18)</f>
        <v>207.68000000000004</v>
      </c>
      <c r="J879" s="55">
        <f t="shared" si="29"/>
        <v>312</v>
      </c>
    </row>
    <row r="880" spans="1:10" ht="18.75" x14ac:dyDescent="0.3">
      <c r="A880" s="24">
        <v>1905053050</v>
      </c>
      <c r="B880" s="9" t="s">
        <v>686</v>
      </c>
      <c r="C880" s="9" t="s">
        <v>606</v>
      </c>
      <c r="F880" s="10"/>
      <c r="G880" s="9"/>
      <c r="H880" s="10">
        <v>388.6</v>
      </c>
      <c r="I880" s="12">
        <f>H880*(1-'[1]Discounts page'!D$18)</f>
        <v>213.73000000000002</v>
      </c>
      <c r="J880" s="55">
        <f t="shared" si="29"/>
        <v>321</v>
      </c>
    </row>
    <row r="881" spans="1:10" ht="18.75" x14ac:dyDescent="0.3">
      <c r="A881" s="24">
        <v>1905054050</v>
      </c>
      <c r="B881" s="9" t="s">
        <v>687</v>
      </c>
      <c r="C881" s="9" t="s">
        <v>606</v>
      </c>
      <c r="F881" s="10"/>
      <c r="G881" s="9"/>
      <c r="H881" s="10">
        <v>400.40000000000003</v>
      </c>
      <c r="I881" s="12">
        <f>H881*(1-'[1]Discounts page'!D$18)</f>
        <v>220.22000000000003</v>
      </c>
      <c r="J881" s="55">
        <f t="shared" si="29"/>
        <v>331</v>
      </c>
    </row>
    <row r="882" spans="1:10" ht="18.75" x14ac:dyDescent="0.3">
      <c r="A882" s="24">
        <v>1905055050</v>
      </c>
      <c r="B882" s="9" t="s">
        <v>688</v>
      </c>
      <c r="C882" s="9" t="s">
        <v>606</v>
      </c>
      <c r="F882" s="10"/>
      <c r="G882" s="9"/>
      <c r="H882" s="10">
        <v>413</v>
      </c>
      <c r="I882" s="12">
        <f>H882*(1-'[1]Discounts page'!D$18)</f>
        <v>227.15</v>
      </c>
      <c r="J882" s="55">
        <f t="shared" si="29"/>
        <v>341</v>
      </c>
    </row>
    <row r="883" spans="1:10" ht="18.75" x14ac:dyDescent="0.3">
      <c r="A883" s="24">
        <v>1905056050</v>
      </c>
      <c r="B883" s="9" t="s">
        <v>689</v>
      </c>
      <c r="C883" s="9" t="s">
        <v>606</v>
      </c>
      <c r="F883" s="10"/>
      <c r="G883" s="9"/>
      <c r="H883" s="10">
        <v>452.8</v>
      </c>
      <c r="I883" s="12">
        <f>H883*(1-'[1]Discounts page'!D$18)</f>
        <v>249.04000000000002</v>
      </c>
      <c r="J883" s="55">
        <f t="shared" si="29"/>
        <v>374</v>
      </c>
    </row>
    <row r="884" spans="1:10" ht="18.75" x14ac:dyDescent="0.3">
      <c r="A884" s="24">
        <v>1905057050</v>
      </c>
      <c r="B884" s="9" t="s">
        <v>690</v>
      </c>
      <c r="C884" s="9" t="s">
        <v>606</v>
      </c>
      <c r="F884" s="10"/>
      <c r="G884" s="9"/>
      <c r="H884" s="10">
        <v>496.6</v>
      </c>
      <c r="I884" s="12">
        <f>H884*(1-'[1]Discounts page'!D$18)</f>
        <v>273.13000000000005</v>
      </c>
      <c r="J884" s="55">
        <f t="shared" si="29"/>
        <v>410</v>
      </c>
    </row>
    <row r="885" spans="1:10" ht="18.75" x14ac:dyDescent="0.3">
      <c r="A885" s="24">
        <v>1905058050</v>
      </c>
      <c r="B885" s="9" t="s">
        <v>691</v>
      </c>
      <c r="C885" s="9" t="s">
        <v>606</v>
      </c>
      <c r="F885" s="10"/>
      <c r="G885" s="9"/>
      <c r="H885" s="10">
        <v>537</v>
      </c>
      <c r="I885" s="12">
        <f>H885*(1-'[1]Discounts page'!D$18)</f>
        <v>295.35000000000002</v>
      </c>
      <c r="J885" s="55">
        <f t="shared" si="29"/>
        <v>444</v>
      </c>
    </row>
    <row r="886" spans="1:10" ht="18.75" x14ac:dyDescent="0.3">
      <c r="A886" s="24">
        <v>1905059050</v>
      </c>
      <c r="B886" s="9" t="s">
        <v>692</v>
      </c>
      <c r="C886" s="9" t="s">
        <v>606</v>
      </c>
      <c r="F886" s="10"/>
      <c r="G886" s="9"/>
      <c r="H886" s="10">
        <v>581.5</v>
      </c>
      <c r="I886" s="12">
        <f>H886*(1-'[1]Discounts page'!D$18)</f>
        <v>319.82500000000005</v>
      </c>
      <c r="J886" s="55">
        <f t="shared" si="29"/>
        <v>480</v>
      </c>
    </row>
    <row r="887" spans="1:10" ht="18.75" x14ac:dyDescent="0.3">
      <c r="A887" s="24">
        <v>1905060050</v>
      </c>
      <c r="B887" s="9" t="s">
        <v>693</v>
      </c>
      <c r="C887" s="9" t="s">
        <v>606</v>
      </c>
      <c r="F887" s="10"/>
      <c r="G887" s="9"/>
      <c r="H887" s="10">
        <v>620.20000000000005</v>
      </c>
      <c r="I887" s="12">
        <f>H887*(1-'[1]Discounts page'!D$18)</f>
        <v>341.11000000000007</v>
      </c>
      <c r="J887" s="55">
        <f t="shared" si="29"/>
        <v>512</v>
      </c>
    </row>
    <row r="888" spans="1:10" ht="18.75" x14ac:dyDescent="0.3">
      <c r="A888" s="16" t="s">
        <v>694</v>
      </c>
      <c r="B888" s="9"/>
      <c r="C888" s="9"/>
      <c r="F888" s="10"/>
      <c r="G888" s="9"/>
      <c r="H888" s="10"/>
      <c r="I888" s="12"/>
      <c r="J888" s="55"/>
    </row>
    <row r="889" spans="1:10" ht="18.75" x14ac:dyDescent="0.3">
      <c r="A889" s="8" t="s">
        <v>695</v>
      </c>
      <c r="B889" s="9" t="s">
        <v>696</v>
      </c>
      <c r="C889" s="9" t="s">
        <v>697</v>
      </c>
      <c r="F889" s="10"/>
      <c r="G889" s="9"/>
      <c r="H889" s="10">
        <v>297.90000000000003</v>
      </c>
      <c r="I889" s="12">
        <f>H889*(1-'[1]Discounts page'!D$19)</f>
        <v>223.42500000000001</v>
      </c>
      <c r="J889" s="55"/>
    </row>
    <row r="890" spans="1:10" ht="18.75" x14ac:dyDescent="0.3">
      <c r="A890" s="8" t="s">
        <v>698</v>
      </c>
      <c r="B890" s="9" t="s">
        <v>699</v>
      </c>
      <c r="C890" s="9" t="s">
        <v>697</v>
      </c>
      <c r="F890" s="10"/>
      <c r="G890" s="9"/>
      <c r="H890" s="10">
        <v>400.40000000000003</v>
      </c>
      <c r="I890" s="12">
        <f>H890*(1-'[1]Discounts page'!D$19)</f>
        <v>300.3</v>
      </c>
      <c r="J890" s="55"/>
    </row>
    <row r="891" spans="1:10" ht="18.75" x14ac:dyDescent="0.3">
      <c r="A891" s="16" t="s">
        <v>700</v>
      </c>
      <c r="B891" s="9"/>
      <c r="C891" s="9"/>
      <c r="F891" s="10"/>
      <c r="G891" s="9"/>
      <c r="H891" s="10"/>
      <c r="I891" s="12"/>
      <c r="J891" s="55"/>
    </row>
    <row r="892" spans="1:10" ht="18.75" x14ac:dyDescent="0.3">
      <c r="A892" s="8" t="s">
        <v>701</v>
      </c>
      <c r="B892" s="9" t="s">
        <v>702</v>
      </c>
      <c r="C892" s="9" t="s">
        <v>538</v>
      </c>
      <c r="F892" s="10"/>
      <c r="G892" s="9"/>
      <c r="H892" s="10">
        <v>29.6</v>
      </c>
      <c r="I892" s="12">
        <f>H892*(1-'[1]Discounts page'!D$17)</f>
        <v>22.200000000000003</v>
      </c>
      <c r="J892" s="55"/>
    </row>
    <row r="893" spans="1:10" ht="18.75" x14ac:dyDescent="0.3">
      <c r="A893" s="8" t="s">
        <v>703</v>
      </c>
      <c r="B893" s="9" t="s">
        <v>704</v>
      </c>
      <c r="C893" s="9" t="s">
        <v>538</v>
      </c>
      <c r="F893" s="10"/>
      <c r="G893" s="9"/>
      <c r="H893" s="10">
        <v>29.6</v>
      </c>
      <c r="I893" s="12">
        <f>H893*(1-'[1]Discounts page'!D$17)</f>
        <v>22.200000000000003</v>
      </c>
      <c r="J893" s="55"/>
    </row>
    <row r="894" spans="1:10" ht="18.75" x14ac:dyDescent="0.3">
      <c r="A894" s="8" t="s">
        <v>705</v>
      </c>
      <c r="B894" s="9" t="s">
        <v>706</v>
      </c>
      <c r="C894" s="9" t="s">
        <v>538</v>
      </c>
      <c r="F894" s="10"/>
      <c r="G894" s="9"/>
      <c r="H894" s="10">
        <v>44.6</v>
      </c>
      <c r="I894" s="12">
        <f>H894*(1-'[1]Discounts page'!D$17)</f>
        <v>33.450000000000003</v>
      </c>
      <c r="J894" s="55"/>
    </row>
    <row r="895" spans="1:10" ht="18.75" x14ac:dyDescent="0.3">
      <c r="A895" s="8" t="s">
        <v>707</v>
      </c>
      <c r="B895" s="9" t="s">
        <v>708</v>
      </c>
      <c r="C895" s="9" t="s">
        <v>538</v>
      </c>
      <c r="F895" s="10"/>
      <c r="G895" s="9"/>
      <c r="H895" s="10">
        <v>44.6</v>
      </c>
      <c r="I895" s="12">
        <f>H895*(1-'[1]Discounts page'!D$17)</f>
        <v>33.450000000000003</v>
      </c>
      <c r="J895" s="55"/>
    </row>
    <row r="896" spans="1:10" ht="18.75" x14ac:dyDescent="0.3">
      <c r="A896" s="8" t="s">
        <v>709</v>
      </c>
      <c r="B896" s="9" t="s">
        <v>710</v>
      </c>
      <c r="C896" s="9" t="s">
        <v>538</v>
      </c>
      <c r="F896" s="10"/>
      <c r="G896" s="9"/>
      <c r="H896" s="10">
        <v>44.6</v>
      </c>
      <c r="I896" s="12">
        <f>H896*(1-'[1]Discounts page'!D$17)</f>
        <v>33.450000000000003</v>
      </c>
      <c r="J896" s="55"/>
    </row>
    <row r="897" spans="1:10" ht="18.75" x14ac:dyDescent="0.3">
      <c r="A897" s="8" t="s">
        <v>711</v>
      </c>
      <c r="B897" s="9" t="s">
        <v>712</v>
      </c>
      <c r="C897" s="9" t="s">
        <v>538</v>
      </c>
      <c r="F897" s="10"/>
      <c r="G897" s="9"/>
      <c r="H897" s="10">
        <v>44.6</v>
      </c>
      <c r="I897" s="12">
        <f>H897*(1-'[1]Discounts page'!D$17)</f>
        <v>33.450000000000003</v>
      </c>
      <c r="J897" s="55"/>
    </row>
    <row r="898" spans="1:10" ht="18.75" x14ac:dyDescent="0.3">
      <c r="A898" s="8" t="s">
        <v>713</v>
      </c>
      <c r="B898" s="9" t="s">
        <v>714</v>
      </c>
      <c r="C898" s="9" t="s">
        <v>538</v>
      </c>
      <c r="F898" s="10"/>
      <c r="G898" s="9"/>
      <c r="H898" s="10">
        <v>103.5</v>
      </c>
      <c r="I898" s="12">
        <f>H898*(1-'[1]Discounts page'!D$17)</f>
        <v>77.625</v>
      </c>
      <c r="J898" s="55"/>
    </row>
    <row r="899" spans="1:10" ht="18.75" x14ac:dyDescent="0.3">
      <c r="A899" s="8"/>
      <c r="B899" s="9"/>
      <c r="C899" s="9"/>
      <c r="F899" s="10"/>
      <c r="G899" s="9"/>
      <c r="H899" s="10"/>
      <c r="I899" s="12"/>
      <c r="J899" s="55"/>
    </row>
    <row r="900" spans="1:10" ht="18.75" x14ac:dyDescent="0.3">
      <c r="A900" s="4"/>
      <c r="B900" s="5"/>
      <c r="C900" s="5"/>
      <c r="F900" s="14"/>
      <c r="G900" s="5"/>
      <c r="H900" s="14"/>
      <c r="I900" s="15"/>
      <c r="J900" s="55"/>
    </row>
    <row r="901" spans="1:10" ht="18.75" x14ac:dyDescent="0.3">
      <c r="A901" s="6" t="s">
        <v>715</v>
      </c>
      <c r="B901" s="5"/>
      <c r="C901" s="5"/>
      <c r="F901" s="14"/>
      <c r="G901" s="5"/>
      <c r="H901" s="14"/>
      <c r="I901" s="15"/>
      <c r="J901" s="55"/>
    </row>
    <row r="902" spans="1:10" ht="18.75" x14ac:dyDescent="0.3">
      <c r="A902" s="16" t="s">
        <v>716</v>
      </c>
      <c r="B902" s="9"/>
      <c r="C902" s="9"/>
      <c r="F902" s="14"/>
      <c r="G902" s="5"/>
      <c r="H902" s="14"/>
      <c r="I902" s="15"/>
      <c r="J902" s="55"/>
    </row>
    <row r="903" spans="1:10" ht="18.75" x14ac:dyDescent="0.3">
      <c r="A903" s="16" t="s">
        <v>717</v>
      </c>
      <c r="B903" s="9"/>
      <c r="C903" s="9"/>
      <c r="F903" s="14"/>
      <c r="G903" s="5"/>
      <c r="H903" s="14"/>
      <c r="I903" s="15"/>
      <c r="J903" s="55"/>
    </row>
    <row r="904" spans="1:10" ht="18.75" x14ac:dyDescent="0.3">
      <c r="A904" s="8" t="s">
        <v>718</v>
      </c>
      <c r="B904" s="9" t="s">
        <v>719</v>
      </c>
      <c r="C904" s="9" t="s">
        <v>720</v>
      </c>
      <c r="F904" s="14"/>
      <c r="G904" s="5"/>
      <c r="H904" s="14">
        <v>96.8</v>
      </c>
      <c r="I904" s="15">
        <f>H904*(1-'[1]Discounts page'!D$20)</f>
        <v>58.08</v>
      </c>
      <c r="J904" s="55">
        <f t="shared" ref="J904:J952" si="30">ROUNDUP(I904*1.5,0)</f>
        <v>88</v>
      </c>
    </row>
    <row r="905" spans="1:10" ht="18.75" x14ac:dyDescent="0.3">
      <c r="A905" s="8" t="s">
        <v>721</v>
      </c>
      <c r="B905" s="9" t="s">
        <v>722</v>
      </c>
      <c r="C905" s="9" t="s">
        <v>720</v>
      </c>
      <c r="F905" s="14"/>
      <c r="G905" s="5"/>
      <c r="H905" s="14">
        <v>99.199999999999989</v>
      </c>
      <c r="I905" s="15">
        <f>H905*(1-'[1]Discounts page'!D$20)</f>
        <v>59.519999999999989</v>
      </c>
      <c r="J905" s="55">
        <f t="shared" si="30"/>
        <v>90</v>
      </c>
    </row>
    <row r="906" spans="1:10" ht="18.75" x14ac:dyDescent="0.3">
      <c r="A906" s="8" t="s">
        <v>723</v>
      </c>
      <c r="B906" s="9" t="s">
        <v>724</v>
      </c>
      <c r="C906" s="9" t="s">
        <v>720</v>
      </c>
      <c r="F906" s="14"/>
      <c r="G906" s="5"/>
      <c r="H906" s="14">
        <v>101.69999999999999</v>
      </c>
      <c r="I906" s="15">
        <f>H906*(1-'[1]Discounts page'!D$20)</f>
        <v>61.019999999999989</v>
      </c>
      <c r="J906" s="55">
        <f t="shared" si="30"/>
        <v>92</v>
      </c>
    </row>
    <row r="907" spans="1:10" ht="18.75" x14ac:dyDescent="0.3">
      <c r="A907" s="8" t="s">
        <v>725</v>
      </c>
      <c r="B907" s="9" t="s">
        <v>726</v>
      </c>
      <c r="C907" s="9" t="s">
        <v>720</v>
      </c>
      <c r="F907" s="14"/>
      <c r="G907" s="5"/>
      <c r="H907" s="14">
        <v>104.5</v>
      </c>
      <c r="I907" s="15">
        <f>H907*(1-'[1]Discounts page'!D$20)</f>
        <v>62.699999999999996</v>
      </c>
      <c r="J907" s="55">
        <f t="shared" si="30"/>
        <v>95</v>
      </c>
    </row>
    <row r="908" spans="1:10" ht="18.75" x14ac:dyDescent="0.3">
      <c r="A908" s="8" t="s">
        <v>727</v>
      </c>
      <c r="B908" s="9" t="s">
        <v>728</v>
      </c>
      <c r="C908" s="9" t="s">
        <v>720</v>
      </c>
      <c r="F908" s="14"/>
      <c r="G908" s="5"/>
      <c r="H908" s="14">
        <v>106.89999999999999</v>
      </c>
      <c r="I908" s="15">
        <f>H908*(1-'[1]Discounts page'!D$20)</f>
        <v>64.139999999999986</v>
      </c>
      <c r="J908" s="55">
        <f t="shared" si="30"/>
        <v>97</v>
      </c>
    </row>
    <row r="909" spans="1:10" ht="18.75" x14ac:dyDescent="0.3">
      <c r="A909" s="8" t="s">
        <v>729</v>
      </c>
      <c r="B909" s="9" t="s">
        <v>730</v>
      </c>
      <c r="C909" s="9" t="s">
        <v>720</v>
      </c>
      <c r="F909" s="14"/>
      <c r="G909" s="5"/>
      <c r="H909" s="14">
        <v>109.5</v>
      </c>
      <c r="I909" s="15">
        <f>H909*(1-'[1]Discounts page'!D$20)</f>
        <v>65.7</v>
      </c>
      <c r="J909" s="55">
        <f t="shared" si="30"/>
        <v>99</v>
      </c>
    </row>
    <row r="910" spans="1:10" ht="18.75" x14ac:dyDescent="0.3">
      <c r="A910" s="8" t="s">
        <v>731</v>
      </c>
      <c r="B910" s="9" t="s">
        <v>732</v>
      </c>
      <c r="C910" s="9" t="s">
        <v>720</v>
      </c>
      <c r="F910" s="14"/>
      <c r="G910" s="5"/>
      <c r="H910" s="14">
        <v>112.19999999999999</v>
      </c>
      <c r="I910" s="15">
        <f>H910*(1-'[1]Discounts page'!D$20)</f>
        <v>67.319999999999993</v>
      </c>
      <c r="J910" s="55">
        <f t="shared" si="30"/>
        <v>101</v>
      </c>
    </row>
    <row r="911" spans="1:10" ht="18.75" x14ac:dyDescent="0.3">
      <c r="A911" s="8" t="s">
        <v>733</v>
      </c>
      <c r="B911" s="9" t="s">
        <v>734</v>
      </c>
      <c r="C911" s="9" t="s">
        <v>720</v>
      </c>
      <c r="F911" s="14"/>
      <c r="G911" s="5"/>
      <c r="H911" s="14">
        <v>114.8</v>
      </c>
      <c r="I911" s="15">
        <f>H911*(1-'[1]Discounts page'!D$20)</f>
        <v>68.88</v>
      </c>
      <c r="J911" s="55">
        <f t="shared" si="30"/>
        <v>104</v>
      </c>
    </row>
    <row r="912" spans="1:10" ht="18.75" x14ac:dyDescent="0.3">
      <c r="A912" s="8" t="s">
        <v>735</v>
      </c>
      <c r="B912" s="9" t="s">
        <v>736</v>
      </c>
      <c r="C912" s="9" t="s">
        <v>720</v>
      </c>
      <c r="F912" s="14"/>
      <c r="G912" s="5"/>
      <c r="H912" s="14">
        <v>117.19999999999999</v>
      </c>
      <c r="I912" s="15">
        <f>H912*(1-'[1]Discounts page'!D$20)</f>
        <v>70.319999999999993</v>
      </c>
      <c r="J912" s="55">
        <f t="shared" si="30"/>
        <v>106</v>
      </c>
    </row>
    <row r="913" spans="1:10" ht="18.75" x14ac:dyDescent="0.3">
      <c r="A913" s="8" t="s">
        <v>737</v>
      </c>
      <c r="B913" s="9" t="s">
        <v>738</v>
      </c>
      <c r="C913" s="9" t="s">
        <v>720</v>
      </c>
      <c r="F913" s="14"/>
      <c r="G913" s="5"/>
      <c r="H913" s="14">
        <v>119.89999999999999</v>
      </c>
      <c r="I913" s="15">
        <f>H913*(1-'[1]Discounts page'!D$20)</f>
        <v>71.94</v>
      </c>
      <c r="J913" s="55">
        <f t="shared" si="30"/>
        <v>108</v>
      </c>
    </row>
    <row r="914" spans="1:10" ht="18.75" x14ac:dyDescent="0.3">
      <c r="A914" s="8" t="s">
        <v>739</v>
      </c>
      <c r="B914" s="9" t="s">
        <v>740</v>
      </c>
      <c r="C914" s="9" t="s">
        <v>720</v>
      </c>
      <c r="F914" s="14"/>
      <c r="G914" s="5"/>
      <c r="H914" s="14">
        <v>122.5</v>
      </c>
      <c r="I914" s="15">
        <f>H914*(1-'[1]Discounts page'!D$20)</f>
        <v>73.5</v>
      </c>
      <c r="J914" s="55">
        <f t="shared" si="30"/>
        <v>111</v>
      </c>
    </row>
    <row r="915" spans="1:10" ht="18.75" x14ac:dyDescent="0.3">
      <c r="A915" s="8" t="s">
        <v>741</v>
      </c>
      <c r="B915" s="9" t="s">
        <v>742</v>
      </c>
      <c r="C915" s="9" t="s">
        <v>720</v>
      </c>
      <c r="F915" s="14"/>
      <c r="G915" s="5"/>
      <c r="H915" s="14">
        <v>125.1</v>
      </c>
      <c r="I915" s="15">
        <f>H915*(1-'[1]Discounts page'!D$20)</f>
        <v>75.059999999999988</v>
      </c>
      <c r="J915" s="55">
        <f t="shared" si="30"/>
        <v>113</v>
      </c>
    </row>
    <row r="916" spans="1:10" ht="18.75" x14ac:dyDescent="0.3">
      <c r="A916" s="8" t="s">
        <v>743</v>
      </c>
      <c r="B916" s="9" t="s">
        <v>744</v>
      </c>
      <c r="C916" s="9" t="s">
        <v>720</v>
      </c>
      <c r="F916" s="14"/>
      <c r="G916" s="5"/>
      <c r="H916" s="14">
        <v>127.6</v>
      </c>
      <c r="I916" s="15">
        <f>H916*(1-'[1]Discounts page'!D$20)</f>
        <v>76.559999999999988</v>
      </c>
      <c r="J916" s="55">
        <f t="shared" si="30"/>
        <v>115</v>
      </c>
    </row>
    <row r="917" spans="1:10" ht="18.75" x14ac:dyDescent="0.3">
      <c r="A917" s="8" t="s">
        <v>745</v>
      </c>
      <c r="B917" s="9" t="s">
        <v>746</v>
      </c>
      <c r="C917" s="9" t="s">
        <v>720</v>
      </c>
      <c r="F917" s="14"/>
      <c r="G917" s="5"/>
      <c r="H917" s="14">
        <v>130.19999999999999</v>
      </c>
      <c r="I917" s="15">
        <f>H917*(1-'[1]Discounts page'!D$20)</f>
        <v>78.11999999999999</v>
      </c>
      <c r="J917" s="55">
        <f t="shared" si="30"/>
        <v>118</v>
      </c>
    </row>
    <row r="918" spans="1:10" ht="18.75" x14ac:dyDescent="0.3">
      <c r="A918" s="8" t="s">
        <v>747</v>
      </c>
      <c r="B918" s="9" t="s">
        <v>748</v>
      </c>
      <c r="C918" s="9" t="s">
        <v>720</v>
      </c>
      <c r="F918" s="14"/>
      <c r="G918" s="5"/>
      <c r="H918" s="14">
        <v>132.9</v>
      </c>
      <c r="I918" s="15">
        <f>H918*(1-'[1]Discounts page'!D$20)</f>
        <v>79.739999999999995</v>
      </c>
      <c r="J918" s="55">
        <f t="shared" si="30"/>
        <v>120</v>
      </c>
    </row>
    <row r="919" spans="1:10" ht="18.75" x14ac:dyDescent="0.3">
      <c r="A919" s="8" t="s">
        <v>749</v>
      </c>
      <c r="B919" s="9" t="s">
        <v>750</v>
      </c>
      <c r="C919" s="9" t="s">
        <v>720</v>
      </c>
      <c r="F919" s="14"/>
      <c r="G919" s="5"/>
      <c r="H919" s="14">
        <v>135.4</v>
      </c>
      <c r="I919" s="15">
        <f>H919*(1-'[1]Discounts page'!D$20)</f>
        <v>81.239999999999995</v>
      </c>
      <c r="J919" s="55">
        <f t="shared" si="30"/>
        <v>122</v>
      </c>
    </row>
    <row r="920" spans="1:10" ht="18.75" x14ac:dyDescent="0.3">
      <c r="A920" s="8" t="s">
        <v>751</v>
      </c>
      <c r="B920" s="9" t="s">
        <v>752</v>
      </c>
      <c r="C920" s="9" t="s">
        <v>720</v>
      </c>
      <c r="F920" s="14"/>
      <c r="G920" s="5"/>
      <c r="H920" s="14">
        <v>138.19999999999999</v>
      </c>
      <c r="I920" s="15">
        <f>H920*(1-'[1]Discounts page'!D$20)</f>
        <v>82.919999999999987</v>
      </c>
      <c r="J920" s="55">
        <f t="shared" si="30"/>
        <v>125</v>
      </c>
    </row>
    <row r="921" spans="1:10" ht="18.75" x14ac:dyDescent="0.3">
      <c r="A921" s="8" t="s">
        <v>753</v>
      </c>
      <c r="B921" s="9" t="s">
        <v>754</v>
      </c>
      <c r="C921" s="9" t="s">
        <v>720</v>
      </c>
      <c r="F921" s="14"/>
      <c r="G921" s="5"/>
      <c r="H921" s="14">
        <v>140.5</v>
      </c>
      <c r="I921" s="15">
        <f>H921*(1-'[1]Discounts page'!D$20)</f>
        <v>84.3</v>
      </c>
      <c r="J921" s="55">
        <f t="shared" si="30"/>
        <v>127</v>
      </c>
    </row>
    <row r="922" spans="1:10" ht="18.75" x14ac:dyDescent="0.3">
      <c r="A922" s="8" t="s">
        <v>755</v>
      </c>
      <c r="B922" s="9" t="s">
        <v>756</v>
      </c>
      <c r="C922" s="9" t="s">
        <v>720</v>
      </c>
      <c r="F922" s="14"/>
      <c r="G922" s="5"/>
      <c r="H922" s="14">
        <v>143.1</v>
      </c>
      <c r="I922" s="15">
        <f>H922*(1-'[1]Discounts page'!D$20)</f>
        <v>85.86</v>
      </c>
      <c r="J922" s="55">
        <f t="shared" si="30"/>
        <v>129</v>
      </c>
    </row>
    <row r="923" spans="1:10" ht="18.75" x14ac:dyDescent="0.3">
      <c r="A923" s="8" t="s">
        <v>757</v>
      </c>
      <c r="B923" s="9" t="s">
        <v>758</v>
      </c>
      <c r="C923" s="9" t="s">
        <v>720</v>
      </c>
      <c r="F923" s="14"/>
      <c r="G923" s="5"/>
      <c r="H923" s="14">
        <v>142.19999999999999</v>
      </c>
      <c r="I923" s="15">
        <f>H923*(1-'[1]Discounts page'!D$20)</f>
        <v>85.32</v>
      </c>
      <c r="J923" s="55">
        <f t="shared" si="30"/>
        <v>128</v>
      </c>
    </row>
    <row r="924" spans="1:10" ht="18.75" x14ac:dyDescent="0.3">
      <c r="A924" s="8" t="s">
        <v>759</v>
      </c>
      <c r="B924" s="9" t="s">
        <v>760</v>
      </c>
      <c r="C924" s="9" t="s">
        <v>720</v>
      </c>
      <c r="F924" s="14"/>
      <c r="G924" s="5"/>
      <c r="H924" s="14">
        <v>144.79999999999998</v>
      </c>
      <c r="I924" s="15">
        <f>H924*(1-'[1]Discounts page'!D$20)</f>
        <v>86.879999999999981</v>
      </c>
      <c r="J924" s="55">
        <f t="shared" si="30"/>
        <v>131</v>
      </c>
    </row>
    <row r="925" spans="1:10" ht="18.75" x14ac:dyDescent="0.3">
      <c r="A925" s="8" t="s">
        <v>761</v>
      </c>
      <c r="B925" s="9" t="s">
        <v>762</v>
      </c>
      <c r="C925" s="9" t="s">
        <v>720</v>
      </c>
      <c r="F925" s="14"/>
      <c r="G925" s="5"/>
      <c r="H925" s="14">
        <v>147.4</v>
      </c>
      <c r="I925" s="15">
        <f>H925*(1-'[1]Discounts page'!D$20)</f>
        <v>88.44</v>
      </c>
      <c r="J925" s="55">
        <f t="shared" si="30"/>
        <v>133</v>
      </c>
    </row>
    <row r="926" spans="1:10" ht="18.75" x14ac:dyDescent="0.3">
      <c r="A926" s="8" t="s">
        <v>763</v>
      </c>
      <c r="B926" s="9" t="s">
        <v>764</v>
      </c>
      <c r="C926" s="9" t="s">
        <v>720</v>
      </c>
      <c r="F926" s="14"/>
      <c r="G926" s="5"/>
      <c r="H926" s="14">
        <v>149.9</v>
      </c>
      <c r="I926" s="15">
        <f>H926*(1-'[1]Discounts page'!D$20)</f>
        <v>89.94</v>
      </c>
      <c r="J926" s="55">
        <f t="shared" si="30"/>
        <v>135</v>
      </c>
    </row>
    <row r="927" spans="1:10" ht="18.75" x14ac:dyDescent="0.3">
      <c r="A927" s="8" t="s">
        <v>765</v>
      </c>
      <c r="B927" s="9" t="s">
        <v>766</v>
      </c>
      <c r="C927" s="9" t="s">
        <v>720</v>
      </c>
      <c r="F927" s="14"/>
      <c r="G927" s="5"/>
      <c r="H927" s="14">
        <v>152.69999999999999</v>
      </c>
      <c r="I927" s="15">
        <f>H927*(1-'[1]Discounts page'!D$20)</f>
        <v>91.61999999999999</v>
      </c>
      <c r="J927" s="55">
        <f t="shared" si="30"/>
        <v>138</v>
      </c>
    </row>
    <row r="928" spans="1:10" ht="18.75" x14ac:dyDescent="0.3">
      <c r="A928" s="8" t="s">
        <v>767</v>
      </c>
      <c r="B928" s="9" t="s">
        <v>768</v>
      </c>
      <c r="C928" s="9" t="s">
        <v>720</v>
      </c>
      <c r="F928" s="14"/>
      <c r="G928" s="5"/>
      <c r="H928" s="14">
        <v>157.79999999999998</v>
      </c>
      <c r="I928" s="15">
        <f>H928*(1-'[1]Discounts page'!D$20)</f>
        <v>94.679999999999993</v>
      </c>
      <c r="J928" s="55">
        <f t="shared" si="30"/>
        <v>143</v>
      </c>
    </row>
    <row r="929" spans="1:10" ht="18.75" x14ac:dyDescent="0.3">
      <c r="A929" s="8" t="s">
        <v>769</v>
      </c>
      <c r="B929" s="9" t="s">
        <v>770</v>
      </c>
      <c r="C929" s="9" t="s">
        <v>720</v>
      </c>
      <c r="F929" s="14"/>
      <c r="G929" s="5"/>
      <c r="H929" s="14">
        <v>160.5</v>
      </c>
      <c r="I929" s="15">
        <f>H929*(1-'[1]Discounts page'!D$20)</f>
        <v>96.3</v>
      </c>
      <c r="J929" s="55">
        <f t="shared" si="30"/>
        <v>145</v>
      </c>
    </row>
    <row r="930" spans="1:10" ht="18.75" x14ac:dyDescent="0.3">
      <c r="A930" s="8" t="s">
        <v>771</v>
      </c>
      <c r="B930" s="9" t="s">
        <v>772</v>
      </c>
      <c r="C930" s="9" t="s">
        <v>720</v>
      </c>
      <c r="F930" s="14"/>
      <c r="G930" s="5"/>
      <c r="H930" s="14">
        <v>163.1</v>
      </c>
      <c r="I930" s="15">
        <f>H930*(1-'[1]Discounts page'!D$20)</f>
        <v>97.86</v>
      </c>
      <c r="J930" s="55">
        <f t="shared" si="30"/>
        <v>147</v>
      </c>
    </row>
    <row r="931" spans="1:10" ht="18.75" x14ac:dyDescent="0.3">
      <c r="A931" s="8" t="s">
        <v>773</v>
      </c>
      <c r="B931" s="9" t="s">
        <v>774</v>
      </c>
      <c r="C931" s="9" t="s">
        <v>720</v>
      </c>
      <c r="F931" s="14"/>
      <c r="G931" s="5"/>
      <c r="H931" s="14">
        <v>165.6</v>
      </c>
      <c r="I931" s="15">
        <f>H931*(1-'[1]Discounts page'!D$20)</f>
        <v>99.36</v>
      </c>
      <c r="J931" s="55">
        <f t="shared" si="30"/>
        <v>150</v>
      </c>
    </row>
    <row r="932" spans="1:10" ht="18.75" x14ac:dyDescent="0.3">
      <c r="A932" s="8" t="s">
        <v>775</v>
      </c>
      <c r="B932" s="9" t="s">
        <v>776</v>
      </c>
      <c r="C932" s="9" t="s">
        <v>720</v>
      </c>
      <c r="F932" s="14"/>
      <c r="G932" s="5"/>
      <c r="H932" s="14">
        <v>168.29999999999998</v>
      </c>
      <c r="I932" s="15">
        <f>H932*(1-'[1]Discounts page'!D$20)</f>
        <v>100.97999999999999</v>
      </c>
      <c r="J932" s="55">
        <f t="shared" si="30"/>
        <v>152</v>
      </c>
    </row>
    <row r="933" spans="1:10" ht="18.75" x14ac:dyDescent="0.3">
      <c r="A933" s="16" t="s">
        <v>777</v>
      </c>
      <c r="B933" s="9"/>
      <c r="C933" s="9"/>
      <c r="F933" s="14"/>
      <c r="G933" s="5"/>
      <c r="H933" s="14"/>
      <c r="I933" s="15"/>
      <c r="J933" s="55">
        <f t="shared" si="30"/>
        <v>0</v>
      </c>
    </row>
    <row r="934" spans="1:10" ht="18.75" x14ac:dyDescent="0.3">
      <c r="A934" s="8" t="s">
        <v>778</v>
      </c>
      <c r="B934" s="9" t="s">
        <v>779</v>
      </c>
      <c r="C934" s="9" t="s">
        <v>720</v>
      </c>
      <c r="F934" s="14"/>
      <c r="G934" s="5"/>
      <c r="H934" s="14">
        <v>142.19999999999999</v>
      </c>
      <c r="I934" s="15">
        <f>H934*(1-'[1]Discounts page'!D$20)</f>
        <v>85.32</v>
      </c>
      <c r="J934" s="55">
        <f t="shared" si="30"/>
        <v>128</v>
      </c>
    </row>
    <row r="935" spans="1:10" ht="18.75" x14ac:dyDescent="0.3">
      <c r="A935" s="8" t="s">
        <v>780</v>
      </c>
      <c r="B935" s="9" t="s">
        <v>781</v>
      </c>
      <c r="C935" s="9" t="s">
        <v>720</v>
      </c>
      <c r="F935" s="14"/>
      <c r="G935" s="5"/>
      <c r="H935" s="14">
        <v>142.19999999999999</v>
      </c>
      <c r="I935" s="15">
        <f>H935*(1-'[1]Discounts page'!D$20)</f>
        <v>85.32</v>
      </c>
      <c r="J935" s="55">
        <f t="shared" si="30"/>
        <v>128</v>
      </c>
    </row>
    <row r="936" spans="1:10" ht="18.75" x14ac:dyDescent="0.3">
      <c r="A936" s="8" t="s">
        <v>782</v>
      </c>
      <c r="B936" s="9" t="s">
        <v>783</v>
      </c>
      <c r="C936" s="9" t="s">
        <v>720</v>
      </c>
      <c r="F936" s="14"/>
      <c r="G936" s="5"/>
      <c r="H936" s="14">
        <v>144.79999999999998</v>
      </c>
      <c r="I936" s="15">
        <f>H936*(1-'[1]Discounts page'!D$20)</f>
        <v>86.879999999999981</v>
      </c>
      <c r="J936" s="55">
        <f t="shared" si="30"/>
        <v>131</v>
      </c>
    </row>
    <row r="937" spans="1:10" ht="18.75" x14ac:dyDescent="0.3">
      <c r="A937" s="8" t="s">
        <v>784</v>
      </c>
      <c r="B937" s="9" t="s">
        <v>785</v>
      </c>
      <c r="C937" s="9" t="s">
        <v>720</v>
      </c>
      <c r="F937" s="14"/>
      <c r="G937" s="5"/>
      <c r="H937" s="14">
        <v>147.4</v>
      </c>
      <c r="I937" s="15">
        <f>H937*(1-'[1]Discounts page'!D$20)</f>
        <v>88.44</v>
      </c>
      <c r="J937" s="55">
        <f t="shared" si="30"/>
        <v>133</v>
      </c>
    </row>
    <row r="938" spans="1:10" ht="18.75" x14ac:dyDescent="0.3">
      <c r="A938" s="8" t="s">
        <v>786</v>
      </c>
      <c r="B938" s="9" t="s">
        <v>787</v>
      </c>
      <c r="C938" s="9" t="s">
        <v>720</v>
      </c>
      <c r="F938" s="14"/>
      <c r="G938" s="5"/>
      <c r="H938" s="14">
        <v>149.9</v>
      </c>
      <c r="I938" s="15">
        <f>H938*(1-'[1]Discounts page'!D$20)</f>
        <v>89.94</v>
      </c>
      <c r="J938" s="55">
        <f t="shared" si="30"/>
        <v>135</v>
      </c>
    </row>
    <row r="939" spans="1:10" ht="18.75" x14ac:dyDescent="0.3">
      <c r="A939" s="8" t="s">
        <v>788</v>
      </c>
      <c r="B939" s="9" t="s">
        <v>789</v>
      </c>
      <c r="C939" s="9" t="s">
        <v>720</v>
      </c>
      <c r="F939" s="14"/>
      <c r="G939" s="5"/>
      <c r="H939" s="14">
        <v>152.69999999999999</v>
      </c>
      <c r="I939" s="15">
        <f>H939*(1-'[1]Discounts page'!D$20)</f>
        <v>91.61999999999999</v>
      </c>
      <c r="J939" s="55">
        <f t="shared" si="30"/>
        <v>138</v>
      </c>
    </row>
    <row r="940" spans="1:10" ht="18.75" x14ac:dyDescent="0.3">
      <c r="A940" s="8" t="s">
        <v>790</v>
      </c>
      <c r="B940" s="9" t="s">
        <v>791</v>
      </c>
      <c r="C940" s="9" t="s">
        <v>720</v>
      </c>
      <c r="F940" s="14"/>
      <c r="G940" s="5"/>
      <c r="H940" s="14">
        <v>155</v>
      </c>
      <c r="I940" s="15">
        <f>H940*(1-'[1]Discounts page'!D$20)</f>
        <v>93</v>
      </c>
      <c r="J940" s="55">
        <f t="shared" si="30"/>
        <v>140</v>
      </c>
    </row>
    <row r="941" spans="1:10" ht="18.75" x14ac:dyDescent="0.3">
      <c r="A941" s="8" t="s">
        <v>792</v>
      </c>
      <c r="B941" s="9" t="s">
        <v>793</v>
      </c>
      <c r="C941" s="9" t="s">
        <v>720</v>
      </c>
      <c r="F941" s="14"/>
      <c r="G941" s="5"/>
      <c r="H941" s="14">
        <v>157.6</v>
      </c>
      <c r="I941" s="15">
        <f>H941*(1-'[1]Discounts page'!D$20)</f>
        <v>94.559999999999988</v>
      </c>
      <c r="J941" s="55">
        <f t="shared" si="30"/>
        <v>142</v>
      </c>
    </row>
    <row r="942" spans="1:10" ht="18.75" x14ac:dyDescent="0.3">
      <c r="A942" s="8" t="s">
        <v>794</v>
      </c>
      <c r="B942" s="9" t="s">
        <v>795</v>
      </c>
      <c r="C942" s="9" t="s">
        <v>720</v>
      </c>
      <c r="F942" s="14"/>
      <c r="G942" s="5"/>
      <c r="H942" s="14">
        <v>160.4</v>
      </c>
      <c r="I942" s="15">
        <f>H942*(1-'[1]Discounts page'!D$20)</f>
        <v>96.24</v>
      </c>
      <c r="J942" s="55">
        <f t="shared" si="30"/>
        <v>145</v>
      </c>
    </row>
    <row r="943" spans="1:10" ht="18.75" x14ac:dyDescent="0.3">
      <c r="A943" s="8" t="s">
        <v>796</v>
      </c>
      <c r="B943" s="9" t="s">
        <v>797</v>
      </c>
      <c r="C943" s="9" t="s">
        <v>720</v>
      </c>
      <c r="F943" s="14"/>
      <c r="G943" s="5"/>
      <c r="H943" s="14">
        <v>163</v>
      </c>
      <c r="I943" s="15">
        <f>H943*(1-'[1]Discounts page'!D$20)</f>
        <v>97.8</v>
      </c>
      <c r="J943" s="55">
        <f t="shared" si="30"/>
        <v>147</v>
      </c>
    </row>
    <row r="944" spans="1:10" ht="18.75" x14ac:dyDescent="0.3">
      <c r="A944" s="8" t="s">
        <v>798</v>
      </c>
      <c r="B944" s="9" t="s">
        <v>799</v>
      </c>
      <c r="C944" s="9" t="s">
        <v>720</v>
      </c>
      <c r="F944" s="14"/>
      <c r="G944" s="5"/>
      <c r="H944" s="14">
        <v>165.29999999999998</v>
      </c>
      <c r="I944" s="15">
        <f>H944*(1-'[1]Discounts page'!D$20)</f>
        <v>99.179999999999993</v>
      </c>
      <c r="J944" s="55">
        <f t="shared" si="30"/>
        <v>149</v>
      </c>
    </row>
    <row r="945" spans="1:10" ht="18.75" x14ac:dyDescent="0.3">
      <c r="A945" s="8" t="s">
        <v>800</v>
      </c>
      <c r="B945" s="9" t="s">
        <v>801</v>
      </c>
      <c r="C945" s="9" t="s">
        <v>720</v>
      </c>
      <c r="F945" s="14"/>
      <c r="G945" s="5"/>
      <c r="H945" s="14">
        <v>168.1</v>
      </c>
      <c r="I945" s="15">
        <f>H945*(1-'[1]Discounts page'!D$20)</f>
        <v>100.86</v>
      </c>
      <c r="J945" s="55">
        <f t="shared" si="30"/>
        <v>152</v>
      </c>
    </row>
    <row r="946" spans="1:10" ht="18.75" x14ac:dyDescent="0.3">
      <c r="A946" s="8" t="s">
        <v>802</v>
      </c>
      <c r="B946" s="9" t="s">
        <v>803</v>
      </c>
      <c r="C946" s="9" t="s">
        <v>720</v>
      </c>
      <c r="F946" s="14"/>
      <c r="G946" s="5"/>
      <c r="H946" s="14">
        <v>170.6</v>
      </c>
      <c r="I946" s="15">
        <f>H946*(1-'[1]Discounts page'!D$20)</f>
        <v>102.36</v>
      </c>
      <c r="J946" s="55">
        <f t="shared" si="30"/>
        <v>154</v>
      </c>
    </row>
    <row r="947" spans="1:10" ht="18.75" x14ac:dyDescent="0.3">
      <c r="A947" s="8" t="s">
        <v>804</v>
      </c>
      <c r="B947" s="9" t="s">
        <v>805</v>
      </c>
      <c r="C947" s="9" t="s">
        <v>720</v>
      </c>
      <c r="F947" s="14"/>
      <c r="G947" s="5"/>
      <c r="H947" s="14">
        <v>173.1</v>
      </c>
      <c r="I947" s="15">
        <f>H947*(1-'[1]Discounts page'!D$20)</f>
        <v>103.86</v>
      </c>
      <c r="J947" s="55">
        <f t="shared" si="30"/>
        <v>156</v>
      </c>
    </row>
    <row r="948" spans="1:10" ht="18.75" x14ac:dyDescent="0.3">
      <c r="A948" s="8" t="s">
        <v>806</v>
      </c>
      <c r="B948" s="9" t="s">
        <v>807</v>
      </c>
      <c r="C948" s="9" t="s">
        <v>720</v>
      </c>
      <c r="F948" s="14"/>
      <c r="G948" s="5"/>
      <c r="H948" s="14">
        <v>158.9</v>
      </c>
      <c r="I948" s="15">
        <f>H948*(1-'[1]Discounts page'!D$20)</f>
        <v>95.34</v>
      </c>
      <c r="J948" s="55">
        <f t="shared" si="30"/>
        <v>144</v>
      </c>
    </row>
    <row r="949" spans="1:10" ht="18.75" x14ac:dyDescent="0.3">
      <c r="A949" s="8" t="s">
        <v>808</v>
      </c>
      <c r="B949" s="9" t="s">
        <v>809</v>
      </c>
      <c r="C949" s="9" t="s">
        <v>720</v>
      </c>
      <c r="F949" s="14"/>
      <c r="G949" s="5"/>
      <c r="H949" s="14">
        <v>161.5</v>
      </c>
      <c r="I949" s="15">
        <f>H949*(1-'[1]Discounts page'!D$20)</f>
        <v>96.899999999999991</v>
      </c>
      <c r="J949" s="55">
        <f t="shared" si="30"/>
        <v>146</v>
      </c>
    </row>
    <row r="950" spans="1:10" ht="18.75" x14ac:dyDescent="0.3">
      <c r="A950" s="8" t="s">
        <v>810</v>
      </c>
      <c r="B950" s="9" t="s">
        <v>811</v>
      </c>
      <c r="C950" s="9" t="s">
        <v>720</v>
      </c>
      <c r="F950" s="14"/>
      <c r="G950" s="5"/>
      <c r="H950" s="14">
        <v>164</v>
      </c>
      <c r="I950" s="15">
        <f>H950*(1-'[1]Discounts page'!D$20)</f>
        <v>98.399999999999991</v>
      </c>
      <c r="J950" s="55">
        <f t="shared" si="30"/>
        <v>148</v>
      </c>
    </row>
    <row r="951" spans="1:10" ht="18.75" x14ac:dyDescent="0.3">
      <c r="A951" s="8" t="s">
        <v>812</v>
      </c>
      <c r="B951" s="9" t="s">
        <v>813</v>
      </c>
      <c r="C951" s="9" t="s">
        <v>720</v>
      </c>
      <c r="F951" s="14"/>
      <c r="G951" s="5"/>
      <c r="H951" s="14">
        <v>170.5</v>
      </c>
      <c r="I951" s="15">
        <f>H951*(1-'[1]Discounts page'!D$20)</f>
        <v>102.3</v>
      </c>
      <c r="J951" s="55">
        <f t="shared" si="30"/>
        <v>154</v>
      </c>
    </row>
    <row r="952" spans="1:10" ht="18.75" x14ac:dyDescent="0.3">
      <c r="A952" s="8" t="s">
        <v>814</v>
      </c>
      <c r="B952" s="9" t="s">
        <v>815</v>
      </c>
      <c r="C952" s="9" t="s">
        <v>720</v>
      </c>
      <c r="F952" s="14"/>
      <c r="G952" s="5"/>
      <c r="H952" s="14">
        <v>173</v>
      </c>
      <c r="I952" s="15">
        <f>H952*(1-'[1]Discounts page'!D$20)</f>
        <v>103.8</v>
      </c>
      <c r="J952" s="55">
        <f t="shared" si="30"/>
        <v>156</v>
      </c>
    </row>
    <row r="953" spans="1:10" ht="18.75" x14ac:dyDescent="0.3">
      <c r="A953" s="8" t="s">
        <v>816</v>
      </c>
      <c r="B953" s="9" t="s">
        <v>817</v>
      </c>
      <c r="C953" s="9" t="s">
        <v>720</v>
      </c>
      <c r="F953" s="14"/>
      <c r="G953" s="5"/>
      <c r="H953" s="14">
        <v>175.5</v>
      </c>
      <c r="I953" s="15">
        <f>H953*(1-'[1]Discounts page'!D$20)</f>
        <v>105.3</v>
      </c>
      <c r="J953" s="55">
        <f t="shared" ref="J953:J1016" si="31">ROUNDUP(I953*1.5,0)</f>
        <v>158</v>
      </c>
    </row>
    <row r="954" spans="1:10" ht="18.75" x14ac:dyDescent="0.3">
      <c r="A954" s="8" t="s">
        <v>818</v>
      </c>
      <c r="B954" s="9" t="s">
        <v>819</v>
      </c>
      <c r="C954" s="9" t="s">
        <v>720</v>
      </c>
      <c r="F954" s="14"/>
      <c r="G954" s="5"/>
      <c r="H954" s="14">
        <v>178.2</v>
      </c>
      <c r="I954" s="15">
        <f>H954*(1-'[1]Discounts page'!D$20)</f>
        <v>106.91999999999999</v>
      </c>
      <c r="J954" s="55">
        <f t="shared" si="31"/>
        <v>161</v>
      </c>
    </row>
    <row r="955" spans="1:10" ht="18.75" x14ac:dyDescent="0.3">
      <c r="A955" s="8" t="s">
        <v>820</v>
      </c>
      <c r="B955" s="9" t="s">
        <v>821</v>
      </c>
      <c r="C955" s="9" t="s">
        <v>720</v>
      </c>
      <c r="F955" s="14"/>
      <c r="G955" s="5"/>
      <c r="H955" s="14">
        <v>198.7</v>
      </c>
      <c r="I955" s="15">
        <f>H955*(1-'[1]Discounts page'!D$20)</f>
        <v>119.21999999999998</v>
      </c>
      <c r="J955" s="55">
        <f t="shared" si="31"/>
        <v>179</v>
      </c>
    </row>
    <row r="956" spans="1:10" ht="18.75" x14ac:dyDescent="0.3">
      <c r="A956" s="8" t="s">
        <v>822</v>
      </c>
      <c r="B956" s="9" t="s">
        <v>823</v>
      </c>
      <c r="C956" s="9" t="s">
        <v>720</v>
      </c>
      <c r="F956" s="14"/>
      <c r="G956" s="5"/>
      <c r="H956" s="14">
        <v>201.29999999999998</v>
      </c>
      <c r="I956" s="15">
        <f>H956*(1-'[1]Discounts page'!D$20)</f>
        <v>120.77999999999999</v>
      </c>
      <c r="J956" s="55">
        <f t="shared" si="31"/>
        <v>182</v>
      </c>
    </row>
    <row r="957" spans="1:10" ht="18.75" x14ac:dyDescent="0.3">
      <c r="A957" s="8" t="s">
        <v>824</v>
      </c>
      <c r="B957" s="9" t="s">
        <v>825</v>
      </c>
      <c r="C957" s="9" t="s">
        <v>720</v>
      </c>
      <c r="F957" s="14"/>
      <c r="G957" s="5"/>
      <c r="H957" s="14">
        <v>203.9</v>
      </c>
      <c r="I957" s="15">
        <f>H957*(1-'[1]Discounts page'!D$20)</f>
        <v>122.34</v>
      </c>
      <c r="J957" s="55">
        <f t="shared" si="31"/>
        <v>184</v>
      </c>
    </row>
    <row r="958" spans="1:10" ht="18.75" x14ac:dyDescent="0.3">
      <c r="A958" s="8" t="s">
        <v>826</v>
      </c>
      <c r="B958" s="9" t="s">
        <v>827</v>
      </c>
      <c r="C958" s="9" t="s">
        <v>720</v>
      </c>
      <c r="F958" s="14"/>
      <c r="G958" s="5"/>
      <c r="H958" s="14">
        <v>206.4</v>
      </c>
      <c r="I958" s="15">
        <f>H958*(1-'[1]Discounts page'!D$20)</f>
        <v>123.84</v>
      </c>
      <c r="J958" s="55">
        <f t="shared" si="31"/>
        <v>186</v>
      </c>
    </row>
    <row r="959" spans="1:10" ht="18.75" x14ac:dyDescent="0.3">
      <c r="A959" s="8" t="s">
        <v>828</v>
      </c>
      <c r="B959" s="9" t="s">
        <v>829</v>
      </c>
      <c r="C959" s="9" t="s">
        <v>720</v>
      </c>
      <c r="F959" s="14"/>
      <c r="G959" s="5"/>
      <c r="H959" s="14">
        <v>209.1</v>
      </c>
      <c r="I959" s="15">
        <f>H959*(1-'[1]Discounts page'!D$20)</f>
        <v>125.46</v>
      </c>
      <c r="J959" s="55">
        <f t="shared" si="31"/>
        <v>189</v>
      </c>
    </row>
    <row r="960" spans="1:10" ht="18.75" x14ac:dyDescent="0.3">
      <c r="A960" s="8" t="s">
        <v>830</v>
      </c>
      <c r="B960" s="9" t="s">
        <v>831</v>
      </c>
      <c r="C960" s="9" t="s">
        <v>720</v>
      </c>
      <c r="F960" s="14"/>
      <c r="G960" s="5"/>
      <c r="H960" s="14">
        <v>211.6</v>
      </c>
      <c r="I960" s="15">
        <f>H960*(1-'[1]Discounts page'!D$20)</f>
        <v>126.96</v>
      </c>
      <c r="J960" s="55">
        <f t="shared" si="31"/>
        <v>191</v>
      </c>
    </row>
    <row r="961" spans="1:10" ht="18.75" x14ac:dyDescent="0.3">
      <c r="A961" s="8" t="s">
        <v>832</v>
      </c>
      <c r="B961" s="9" t="s">
        <v>833</v>
      </c>
      <c r="C961" s="9" t="s">
        <v>720</v>
      </c>
      <c r="F961" s="14"/>
      <c r="G961" s="5"/>
      <c r="H961" s="14">
        <v>214.2</v>
      </c>
      <c r="I961" s="15">
        <f>H961*(1-'[1]Discounts page'!D$20)</f>
        <v>128.51999999999998</v>
      </c>
      <c r="J961" s="55">
        <f t="shared" si="31"/>
        <v>193</v>
      </c>
    </row>
    <row r="962" spans="1:10" ht="18.75" x14ac:dyDescent="0.3">
      <c r="A962" s="8" t="s">
        <v>834</v>
      </c>
      <c r="B962" s="9" t="s">
        <v>835</v>
      </c>
      <c r="C962" s="9" t="s">
        <v>720</v>
      </c>
      <c r="F962" s="14"/>
      <c r="G962" s="5"/>
      <c r="H962" s="14">
        <v>216.79999999999998</v>
      </c>
      <c r="I962" s="15">
        <f>H962*(1-'[1]Discounts page'!D$20)</f>
        <v>130.07999999999998</v>
      </c>
      <c r="J962" s="55">
        <f t="shared" si="31"/>
        <v>196</v>
      </c>
    </row>
    <row r="963" spans="1:10" ht="18.75" x14ac:dyDescent="0.3">
      <c r="A963" s="8" t="s">
        <v>836</v>
      </c>
      <c r="B963" s="9" t="s">
        <v>837</v>
      </c>
      <c r="C963" s="9" t="s">
        <v>720</v>
      </c>
      <c r="F963" s="14"/>
      <c r="G963" s="5"/>
      <c r="H963" s="14">
        <v>226.9</v>
      </c>
      <c r="I963" s="15">
        <f>H963*(1-'[1]Discounts page'!D$20)</f>
        <v>136.13999999999999</v>
      </c>
      <c r="J963" s="55">
        <f t="shared" si="31"/>
        <v>205</v>
      </c>
    </row>
    <row r="964" spans="1:10" ht="18.75" x14ac:dyDescent="0.3">
      <c r="A964" s="8" t="s">
        <v>838</v>
      </c>
      <c r="B964" s="9" t="s">
        <v>839</v>
      </c>
      <c r="C964" s="9" t="s">
        <v>720</v>
      </c>
      <c r="F964" s="14"/>
      <c r="G964" s="5"/>
      <c r="H964" s="14">
        <v>229.5</v>
      </c>
      <c r="I964" s="15">
        <f>H964*(1-'[1]Discounts page'!D$20)</f>
        <v>137.69999999999999</v>
      </c>
      <c r="J964" s="55">
        <f t="shared" si="31"/>
        <v>207</v>
      </c>
    </row>
    <row r="965" spans="1:10" ht="18.75" x14ac:dyDescent="0.3">
      <c r="A965" s="8" t="s">
        <v>840</v>
      </c>
      <c r="B965" s="9" t="s">
        <v>841</v>
      </c>
      <c r="C965" s="9" t="s">
        <v>720</v>
      </c>
      <c r="F965" s="14"/>
      <c r="G965" s="5"/>
      <c r="H965" s="14">
        <v>232.2</v>
      </c>
      <c r="I965" s="15">
        <f>H965*(1-'[1]Discounts page'!D$20)</f>
        <v>139.32</v>
      </c>
      <c r="J965" s="55">
        <f t="shared" si="31"/>
        <v>209</v>
      </c>
    </row>
    <row r="966" spans="1:10" ht="18.75" x14ac:dyDescent="0.3">
      <c r="A966" s="8" t="s">
        <v>842</v>
      </c>
      <c r="B966" s="9" t="s">
        <v>843</v>
      </c>
      <c r="C966" s="9" t="s">
        <v>720</v>
      </c>
      <c r="F966" s="14"/>
      <c r="G966" s="5"/>
      <c r="H966" s="14">
        <v>234.79999999999998</v>
      </c>
      <c r="I966" s="15">
        <f>H966*(1-'[1]Discounts page'!D$20)</f>
        <v>140.88</v>
      </c>
      <c r="J966" s="55">
        <f t="shared" si="31"/>
        <v>212</v>
      </c>
    </row>
    <row r="967" spans="1:10" ht="18.75" x14ac:dyDescent="0.3">
      <c r="A967" s="8" t="s">
        <v>844</v>
      </c>
      <c r="B967" s="9" t="s">
        <v>845</v>
      </c>
      <c r="C967" s="9" t="s">
        <v>720</v>
      </c>
      <c r="F967" s="14"/>
      <c r="G967" s="5"/>
      <c r="H967" s="14">
        <v>237.2</v>
      </c>
      <c r="I967" s="15">
        <f>H967*(1-'[1]Discounts page'!D$20)</f>
        <v>142.32</v>
      </c>
      <c r="J967" s="55">
        <f t="shared" si="31"/>
        <v>214</v>
      </c>
    </row>
    <row r="968" spans="1:10" ht="18.75" x14ac:dyDescent="0.3">
      <c r="A968" s="8" t="s">
        <v>846</v>
      </c>
      <c r="B968" s="9" t="s">
        <v>847</v>
      </c>
      <c r="C968" s="9" t="s">
        <v>720</v>
      </c>
      <c r="F968" s="14"/>
      <c r="G968" s="5"/>
      <c r="H968" s="14">
        <v>255.5</v>
      </c>
      <c r="I968" s="15">
        <f>H968*(1-'[1]Discounts page'!D$20)</f>
        <v>153.29999999999998</v>
      </c>
      <c r="J968" s="55">
        <f t="shared" si="31"/>
        <v>230</v>
      </c>
    </row>
    <row r="969" spans="1:10" ht="18.75" x14ac:dyDescent="0.3">
      <c r="A969" s="8" t="s">
        <v>848</v>
      </c>
      <c r="B969" s="9" t="s">
        <v>849</v>
      </c>
      <c r="C969" s="9" t="s">
        <v>720</v>
      </c>
      <c r="F969" s="14"/>
      <c r="G969" s="5"/>
      <c r="H969" s="14">
        <v>258</v>
      </c>
      <c r="I969" s="15">
        <f>H969*(1-'[1]Discounts page'!D$20)</f>
        <v>154.79999999999998</v>
      </c>
      <c r="J969" s="55">
        <f t="shared" si="31"/>
        <v>233</v>
      </c>
    </row>
    <row r="970" spans="1:10" ht="18.75" x14ac:dyDescent="0.3">
      <c r="A970" s="8" t="s">
        <v>850</v>
      </c>
      <c r="B970" s="9" t="s">
        <v>851</v>
      </c>
      <c r="C970" s="9" t="s">
        <v>720</v>
      </c>
      <c r="F970" s="14"/>
      <c r="G970" s="5"/>
      <c r="H970" s="14">
        <v>260.5</v>
      </c>
      <c r="I970" s="15">
        <f>H970*(1-'[1]Discounts page'!D$20)</f>
        <v>156.29999999999998</v>
      </c>
      <c r="J970" s="55">
        <f t="shared" si="31"/>
        <v>235</v>
      </c>
    </row>
    <row r="971" spans="1:10" ht="18.75" x14ac:dyDescent="0.3">
      <c r="A971" s="8" t="s">
        <v>852</v>
      </c>
      <c r="B971" s="9" t="s">
        <v>853</v>
      </c>
      <c r="C971" s="9" t="s">
        <v>720</v>
      </c>
      <c r="F971" s="14"/>
      <c r="G971" s="5"/>
      <c r="H971" s="14">
        <v>263.20000000000005</v>
      </c>
      <c r="I971" s="15">
        <f>H971*(1-'[1]Discounts page'!D$20)</f>
        <v>157.92000000000002</v>
      </c>
      <c r="J971" s="55">
        <f t="shared" si="31"/>
        <v>237</v>
      </c>
    </row>
    <row r="972" spans="1:10" ht="18.75" x14ac:dyDescent="0.3">
      <c r="A972" s="8" t="s">
        <v>854</v>
      </c>
      <c r="B972" s="9" t="s">
        <v>855</v>
      </c>
      <c r="C972" s="9" t="s">
        <v>720</v>
      </c>
      <c r="F972" s="14"/>
      <c r="G972" s="5"/>
      <c r="H972" s="14">
        <v>265.8</v>
      </c>
      <c r="I972" s="15">
        <f>H972*(1-'[1]Discounts page'!D$20)</f>
        <v>159.47999999999999</v>
      </c>
      <c r="J972" s="55">
        <f t="shared" si="31"/>
        <v>240</v>
      </c>
    </row>
    <row r="973" spans="1:10" ht="18.75" x14ac:dyDescent="0.3">
      <c r="A973" s="8" t="s">
        <v>856</v>
      </c>
      <c r="B973" s="9" t="s">
        <v>857</v>
      </c>
      <c r="C973" s="9" t="s">
        <v>720</v>
      </c>
      <c r="F973" s="14"/>
      <c r="G973" s="5"/>
      <c r="H973" s="14">
        <v>315</v>
      </c>
      <c r="I973" s="15">
        <f>H973*(1-'[1]Discounts page'!D$20)</f>
        <v>189</v>
      </c>
      <c r="J973" s="55">
        <f t="shared" si="31"/>
        <v>284</v>
      </c>
    </row>
    <row r="974" spans="1:10" ht="18.75" x14ac:dyDescent="0.3">
      <c r="A974" s="8" t="s">
        <v>858</v>
      </c>
      <c r="B974" s="9" t="s">
        <v>859</v>
      </c>
      <c r="C974" s="9" t="s">
        <v>720</v>
      </c>
      <c r="F974" s="14"/>
      <c r="G974" s="5"/>
      <c r="H974" s="14">
        <v>317.60000000000002</v>
      </c>
      <c r="I974" s="15">
        <f>H974*(1-'[1]Discounts page'!D$20)</f>
        <v>190.56</v>
      </c>
      <c r="J974" s="55">
        <f t="shared" si="31"/>
        <v>286</v>
      </c>
    </row>
    <row r="975" spans="1:10" ht="18.75" x14ac:dyDescent="0.3">
      <c r="A975" s="8" t="s">
        <v>860</v>
      </c>
      <c r="B975" s="9" t="s">
        <v>861</v>
      </c>
      <c r="C975" s="9" t="s">
        <v>720</v>
      </c>
      <c r="F975" s="14"/>
      <c r="G975" s="5"/>
      <c r="H975" s="14">
        <v>320.20000000000005</v>
      </c>
      <c r="I975" s="15">
        <f>H975*(1-'[1]Discounts page'!D$20)</f>
        <v>192.12000000000003</v>
      </c>
      <c r="J975" s="55">
        <f t="shared" si="31"/>
        <v>289</v>
      </c>
    </row>
    <row r="976" spans="1:10" ht="18.75" x14ac:dyDescent="0.3">
      <c r="A976" s="8" t="s">
        <v>862</v>
      </c>
      <c r="B976" s="9" t="s">
        <v>863</v>
      </c>
      <c r="C976" s="9" t="s">
        <v>720</v>
      </c>
      <c r="F976" s="14"/>
      <c r="G976" s="5"/>
      <c r="H976" s="14">
        <v>322.70000000000005</v>
      </c>
      <c r="I976" s="15">
        <f>H976*(1-'[1]Discounts page'!D$20)</f>
        <v>193.62000000000003</v>
      </c>
      <c r="J976" s="55">
        <f t="shared" si="31"/>
        <v>291</v>
      </c>
    </row>
    <row r="977" spans="1:10" ht="18.75" x14ac:dyDescent="0.3">
      <c r="A977" s="8" t="s">
        <v>864</v>
      </c>
      <c r="B977" s="9" t="s">
        <v>865</v>
      </c>
      <c r="C977" s="9" t="s">
        <v>720</v>
      </c>
      <c r="F977" s="14"/>
      <c r="G977" s="5"/>
      <c r="H977" s="14">
        <v>325.40000000000003</v>
      </c>
      <c r="I977" s="15">
        <f>H977*(1-'[1]Discounts page'!D$20)</f>
        <v>195.24</v>
      </c>
      <c r="J977" s="55">
        <f t="shared" si="31"/>
        <v>293</v>
      </c>
    </row>
    <row r="978" spans="1:10" ht="18.75" x14ac:dyDescent="0.3">
      <c r="A978" s="8" t="s">
        <v>866</v>
      </c>
      <c r="B978" s="9" t="s">
        <v>867</v>
      </c>
      <c r="C978" s="9" t="s">
        <v>720</v>
      </c>
      <c r="F978" s="14"/>
      <c r="G978" s="5"/>
      <c r="H978" s="14">
        <v>346.70000000000005</v>
      </c>
      <c r="I978" s="15">
        <f>H978*(1-'[1]Discounts page'!D$20)</f>
        <v>208.02</v>
      </c>
      <c r="J978" s="55">
        <f t="shared" si="31"/>
        <v>313</v>
      </c>
    </row>
    <row r="979" spans="1:10" ht="18.75" x14ac:dyDescent="0.3">
      <c r="A979" s="8" t="s">
        <v>868</v>
      </c>
      <c r="B979" s="9" t="s">
        <v>869</v>
      </c>
      <c r="C979" s="9" t="s">
        <v>720</v>
      </c>
      <c r="F979" s="14"/>
      <c r="G979" s="5"/>
      <c r="H979" s="14">
        <v>349.20000000000005</v>
      </c>
      <c r="I979" s="15">
        <f>H979*(1-'[1]Discounts page'!D$20)</f>
        <v>209.52</v>
      </c>
      <c r="J979" s="55">
        <f t="shared" si="31"/>
        <v>315</v>
      </c>
    </row>
    <row r="980" spans="1:10" ht="18.75" x14ac:dyDescent="0.3">
      <c r="A980" s="8" t="s">
        <v>870</v>
      </c>
      <c r="B980" s="9" t="s">
        <v>871</v>
      </c>
      <c r="C980" s="9" t="s">
        <v>720</v>
      </c>
      <c r="F980" s="14"/>
      <c r="G980" s="5"/>
      <c r="H980" s="14">
        <v>352.1</v>
      </c>
      <c r="I980" s="15">
        <f>H980*(1-'[1]Discounts page'!D$20)</f>
        <v>211.26000000000002</v>
      </c>
      <c r="J980" s="55">
        <f t="shared" si="31"/>
        <v>317</v>
      </c>
    </row>
    <row r="981" spans="1:10" ht="18.75" x14ac:dyDescent="0.3">
      <c r="A981" s="8" t="s">
        <v>872</v>
      </c>
      <c r="B981" s="9" t="s">
        <v>873</v>
      </c>
      <c r="C981" s="9" t="s">
        <v>720</v>
      </c>
      <c r="F981" s="14"/>
      <c r="G981" s="5"/>
      <c r="H981" s="14">
        <v>354.40000000000003</v>
      </c>
      <c r="I981" s="15">
        <f>H981*(1-'[1]Discounts page'!D$20)</f>
        <v>212.64000000000001</v>
      </c>
      <c r="J981" s="55">
        <f t="shared" si="31"/>
        <v>319</v>
      </c>
    </row>
    <row r="982" spans="1:10" ht="18.75" x14ac:dyDescent="0.3">
      <c r="A982" s="8" t="s">
        <v>874</v>
      </c>
      <c r="B982" s="9" t="s">
        <v>875</v>
      </c>
      <c r="C982" s="9" t="s">
        <v>720</v>
      </c>
      <c r="F982" s="14"/>
      <c r="G982" s="5"/>
      <c r="H982" s="14">
        <v>356.90000000000003</v>
      </c>
      <c r="I982" s="15">
        <f>H982*(1-'[1]Discounts page'!D$20)</f>
        <v>214.14000000000001</v>
      </c>
      <c r="J982" s="55">
        <f t="shared" si="31"/>
        <v>322</v>
      </c>
    </row>
    <row r="983" spans="1:10" ht="18.75" x14ac:dyDescent="0.3">
      <c r="A983" s="8" t="s">
        <v>876</v>
      </c>
      <c r="B983" s="9" t="s">
        <v>877</v>
      </c>
      <c r="C983" s="9" t="s">
        <v>720</v>
      </c>
      <c r="F983" s="14"/>
      <c r="G983" s="5"/>
      <c r="H983" s="14">
        <v>377.90000000000003</v>
      </c>
      <c r="I983" s="15">
        <f>H983*(1-'[1]Discounts page'!D$20)</f>
        <v>226.74</v>
      </c>
      <c r="J983" s="55">
        <f t="shared" si="31"/>
        <v>341</v>
      </c>
    </row>
    <row r="984" spans="1:10" ht="18.75" x14ac:dyDescent="0.3">
      <c r="A984" s="8" t="s">
        <v>878</v>
      </c>
      <c r="B984" s="9" t="s">
        <v>879</v>
      </c>
      <c r="C984" s="9" t="s">
        <v>720</v>
      </c>
      <c r="F984" s="14"/>
      <c r="G984" s="5"/>
      <c r="H984" s="14">
        <v>380.6</v>
      </c>
      <c r="I984" s="15">
        <f>H984*(1-'[1]Discounts page'!D$20)</f>
        <v>228.36</v>
      </c>
      <c r="J984" s="55">
        <f t="shared" si="31"/>
        <v>343</v>
      </c>
    </row>
    <row r="985" spans="1:10" ht="18.75" x14ac:dyDescent="0.3">
      <c r="A985" s="8" t="s">
        <v>880</v>
      </c>
      <c r="B985" s="9" t="s">
        <v>881</v>
      </c>
      <c r="C985" s="9" t="s">
        <v>720</v>
      </c>
      <c r="F985" s="14"/>
      <c r="G985" s="5"/>
      <c r="H985" s="14">
        <v>383.1</v>
      </c>
      <c r="I985" s="15">
        <f>H985*(1-'[1]Discounts page'!D$20)</f>
        <v>229.86</v>
      </c>
      <c r="J985" s="55">
        <f t="shared" si="31"/>
        <v>345</v>
      </c>
    </row>
    <row r="986" spans="1:10" ht="18.75" x14ac:dyDescent="0.3">
      <c r="A986" s="8" t="s">
        <v>882</v>
      </c>
      <c r="B986" s="9" t="s">
        <v>883</v>
      </c>
      <c r="C986" s="9" t="s">
        <v>720</v>
      </c>
      <c r="F986" s="14"/>
      <c r="G986" s="5"/>
      <c r="H986" s="14">
        <v>385.8</v>
      </c>
      <c r="I986" s="15">
        <f>H986*(1-'[1]Discounts page'!D$20)</f>
        <v>231.48</v>
      </c>
      <c r="J986" s="55">
        <f t="shared" si="31"/>
        <v>348</v>
      </c>
    </row>
    <row r="987" spans="1:10" ht="18.75" x14ac:dyDescent="0.3">
      <c r="A987" s="8" t="s">
        <v>884</v>
      </c>
      <c r="B987" s="9" t="s">
        <v>885</v>
      </c>
      <c r="C987" s="9" t="s">
        <v>720</v>
      </c>
      <c r="F987" s="14"/>
      <c r="G987" s="5"/>
      <c r="H987" s="14">
        <v>388.3</v>
      </c>
      <c r="I987" s="15">
        <f>H987*(1-'[1]Discounts page'!D$20)</f>
        <v>232.98</v>
      </c>
      <c r="J987" s="55">
        <f t="shared" si="31"/>
        <v>350</v>
      </c>
    </row>
    <row r="988" spans="1:10" ht="18.75" x14ac:dyDescent="0.3">
      <c r="A988" s="8" t="s">
        <v>886</v>
      </c>
      <c r="B988" s="9" t="s">
        <v>887</v>
      </c>
      <c r="C988" s="9" t="s">
        <v>720</v>
      </c>
      <c r="F988" s="14"/>
      <c r="G988" s="5"/>
      <c r="H988" s="14">
        <v>472.6</v>
      </c>
      <c r="I988" s="15">
        <f>H988*(1-'[1]Discounts page'!D$20)</f>
        <v>283.56</v>
      </c>
      <c r="J988" s="55">
        <f t="shared" si="31"/>
        <v>426</v>
      </c>
    </row>
    <row r="989" spans="1:10" ht="18.75" x14ac:dyDescent="0.3">
      <c r="A989" s="8" t="s">
        <v>888</v>
      </c>
      <c r="B989" s="9" t="s">
        <v>889</v>
      </c>
      <c r="C989" s="9" t="s">
        <v>720</v>
      </c>
      <c r="F989" s="14"/>
      <c r="G989" s="5"/>
      <c r="H989" s="14">
        <v>475.1</v>
      </c>
      <c r="I989" s="15">
        <f>H989*(1-'[1]Discounts page'!D$20)</f>
        <v>285.06</v>
      </c>
      <c r="J989" s="55">
        <f t="shared" si="31"/>
        <v>428</v>
      </c>
    </row>
    <row r="990" spans="1:10" ht="18.75" x14ac:dyDescent="0.3">
      <c r="A990" s="8" t="s">
        <v>890</v>
      </c>
      <c r="B990" s="9" t="s">
        <v>891</v>
      </c>
      <c r="C990" s="9" t="s">
        <v>720</v>
      </c>
      <c r="F990" s="14"/>
      <c r="G990" s="5"/>
      <c r="H990" s="14">
        <v>477.6</v>
      </c>
      <c r="I990" s="15">
        <f>H990*(1-'[1]Discounts page'!D$20)</f>
        <v>286.56</v>
      </c>
      <c r="J990" s="55">
        <f t="shared" si="31"/>
        <v>430</v>
      </c>
    </row>
    <row r="991" spans="1:10" ht="18.75" x14ac:dyDescent="0.3">
      <c r="A991" s="8" t="s">
        <v>892</v>
      </c>
      <c r="B991" s="9" t="s">
        <v>893</v>
      </c>
      <c r="C991" s="9" t="s">
        <v>720</v>
      </c>
      <c r="F991" s="14"/>
      <c r="G991" s="5"/>
      <c r="H991" s="14">
        <v>480.40000000000003</v>
      </c>
      <c r="I991" s="15">
        <f>H991*(1-'[1]Discounts page'!D$20)</f>
        <v>288.24</v>
      </c>
      <c r="J991" s="55">
        <f t="shared" si="31"/>
        <v>433</v>
      </c>
    </row>
    <row r="992" spans="1:10" ht="18.75" x14ac:dyDescent="0.3">
      <c r="A992" s="8" t="s">
        <v>894</v>
      </c>
      <c r="B992" s="9" t="s">
        <v>895</v>
      </c>
      <c r="C992" s="9" t="s">
        <v>720</v>
      </c>
      <c r="F992" s="14"/>
      <c r="G992" s="5"/>
      <c r="H992" s="14">
        <v>482.90000000000003</v>
      </c>
      <c r="I992" s="15">
        <f>H992*(1-'[1]Discounts page'!D$20)</f>
        <v>289.74</v>
      </c>
      <c r="J992" s="55">
        <f t="shared" si="31"/>
        <v>435</v>
      </c>
    </row>
    <row r="993" spans="1:10" ht="18.75" x14ac:dyDescent="0.3">
      <c r="A993" s="8" t="s">
        <v>896</v>
      </c>
      <c r="B993" s="9" t="s">
        <v>897</v>
      </c>
      <c r="C993" s="9" t="s">
        <v>720</v>
      </c>
      <c r="F993" s="14"/>
      <c r="G993" s="5"/>
      <c r="H993" s="14">
        <v>504</v>
      </c>
      <c r="I993" s="15">
        <f>H993*(1-'[1]Discounts page'!D$20)</f>
        <v>302.39999999999998</v>
      </c>
      <c r="J993" s="55">
        <f t="shared" si="31"/>
        <v>454</v>
      </c>
    </row>
    <row r="994" spans="1:10" ht="18.75" x14ac:dyDescent="0.3">
      <c r="A994" s="8" t="s">
        <v>898</v>
      </c>
      <c r="B994" s="9" t="s">
        <v>899</v>
      </c>
      <c r="C994" s="9" t="s">
        <v>720</v>
      </c>
      <c r="F994" s="14"/>
      <c r="G994" s="5"/>
      <c r="H994" s="14">
        <v>506.5</v>
      </c>
      <c r="I994" s="15">
        <f>H994*(1-'[1]Discounts page'!D$20)</f>
        <v>303.89999999999998</v>
      </c>
      <c r="J994" s="55">
        <f t="shared" si="31"/>
        <v>456</v>
      </c>
    </row>
    <row r="995" spans="1:10" ht="18.75" x14ac:dyDescent="0.3">
      <c r="A995" s="8" t="s">
        <v>900</v>
      </c>
      <c r="B995" s="9" t="s">
        <v>901</v>
      </c>
      <c r="C995" s="9" t="s">
        <v>720</v>
      </c>
      <c r="F995" s="14"/>
      <c r="G995" s="5"/>
      <c r="H995" s="14">
        <v>509</v>
      </c>
      <c r="I995" s="15">
        <f>H995*(1-'[1]Discounts page'!D$20)</f>
        <v>305.39999999999998</v>
      </c>
      <c r="J995" s="55">
        <f t="shared" si="31"/>
        <v>459</v>
      </c>
    </row>
    <row r="996" spans="1:10" ht="18.75" x14ac:dyDescent="0.3">
      <c r="A996" s="8" t="s">
        <v>902</v>
      </c>
      <c r="B996" s="9" t="s">
        <v>903</v>
      </c>
      <c r="C996" s="9" t="s">
        <v>720</v>
      </c>
      <c r="F996" s="14"/>
      <c r="G996" s="5"/>
      <c r="H996" s="14">
        <v>511.70000000000005</v>
      </c>
      <c r="I996" s="15">
        <f>H996*(1-'[1]Discounts page'!D$20)</f>
        <v>307.02000000000004</v>
      </c>
      <c r="J996" s="55">
        <f t="shared" si="31"/>
        <v>461</v>
      </c>
    </row>
    <row r="997" spans="1:10" ht="18.75" x14ac:dyDescent="0.3">
      <c r="A997" s="8" t="s">
        <v>904</v>
      </c>
      <c r="B997" s="9" t="s">
        <v>905</v>
      </c>
      <c r="C997" s="9" t="s">
        <v>720</v>
      </c>
      <c r="F997" s="14"/>
      <c r="G997" s="5"/>
      <c r="H997" s="14">
        <v>514.30000000000007</v>
      </c>
      <c r="I997" s="15">
        <f>H997*(1-'[1]Discounts page'!D$20)</f>
        <v>308.58000000000004</v>
      </c>
      <c r="J997" s="55">
        <f t="shared" si="31"/>
        <v>463</v>
      </c>
    </row>
    <row r="998" spans="1:10" ht="18.75" x14ac:dyDescent="0.3">
      <c r="A998" s="8" t="s">
        <v>906</v>
      </c>
      <c r="B998" s="9" t="s">
        <v>907</v>
      </c>
      <c r="C998" s="9" t="s">
        <v>720</v>
      </c>
      <c r="F998" s="14"/>
      <c r="G998" s="5"/>
      <c r="H998" s="14">
        <v>535.6</v>
      </c>
      <c r="I998" s="15">
        <f>H998*(1-'[1]Discounts page'!D$20)</f>
        <v>321.36</v>
      </c>
      <c r="J998" s="55">
        <f t="shared" si="31"/>
        <v>483</v>
      </c>
    </row>
    <row r="999" spans="1:10" ht="18.75" x14ac:dyDescent="0.3">
      <c r="A999" s="8" t="s">
        <v>908</v>
      </c>
      <c r="B999" s="9" t="s">
        <v>909</v>
      </c>
      <c r="C999" s="9" t="s">
        <v>720</v>
      </c>
      <c r="F999" s="14"/>
      <c r="G999" s="5"/>
      <c r="H999" s="14">
        <v>538.1</v>
      </c>
      <c r="I999" s="15">
        <f>H999*(1-'[1]Discounts page'!D$20)</f>
        <v>322.86</v>
      </c>
      <c r="J999" s="55">
        <f t="shared" si="31"/>
        <v>485</v>
      </c>
    </row>
    <row r="1000" spans="1:10" ht="18.75" x14ac:dyDescent="0.3">
      <c r="A1000" s="8" t="s">
        <v>910</v>
      </c>
      <c r="B1000" s="9" t="s">
        <v>911</v>
      </c>
      <c r="C1000" s="9" t="s">
        <v>720</v>
      </c>
      <c r="F1000" s="14"/>
      <c r="G1000" s="5"/>
      <c r="H1000" s="14">
        <v>540.5</v>
      </c>
      <c r="I1000" s="15">
        <f>H1000*(1-'[1]Discounts page'!D$20)</f>
        <v>324.3</v>
      </c>
      <c r="J1000" s="55">
        <f t="shared" si="31"/>
        <v>487</v>
      </c>
    </row>
    <row r="1001" spans="1:10" ht="18.75" x14ac:dyDescent="0.3">
      <c r="A1001" s="8" t="s">
        <v>912</v>
      </c>
      <c r="B1001" s="9" t="s">
        <v>913</v>
      </c>
      <c r="C1001" s="9" t="s">
        <v>720</v>
      </c>
      <c r="F1001" s="14"/>
      <c r="G1001" s="5"/>
      <c r="H1001" s="14">
        <v>543.30000000000007</v>
      </c>
      <c r="I1001" s="15">
        <f>H1001*(1-'[1]Discounts page'!D$20)</f>
        <v>325.98</v>
      </c>
      <c r="J1001" s="55">
        <f t="shared" si="31"/>
        <v>489</v>
      </c>
    </row>
    <row r="1002" spans="1:10" ht="18.75" x14ac:dyDescent="0.3">
      <c r="A1002" s="8" t="s">
        <v>914</v>
      </c>
      <c r="B1002" s="9" t="s">
        <v>915</v>
      </c>
      <c r="C1002" s="9" t="s">
        <v>720</v>
      </c>
      <c r="F1002" s="14"/>
      <c r="G1002" s="5"/>
      <c r="H1002" s="14">
        <v>545.80000000000007</v>
      </c>
      <c r="I1002" s="15">
        <f>H1002*(1-'[1]Discounts page'!D$20)</f>
        <v>327.48</v>
      </c>
      <c r="J1002" s="55">
        <f t="shared" si="31"/>
        <v>492</v>
      </c>
    </row>
    <row r="1003" spans="1:10" ht="18.75" x14ac:dyDescent="0.3">
      <c r="A1003" s="16" t="s">
        <v>916</v>
      </c>
      <c r="B1003" s="9"/>
      <c r="C1003" s="9"/>
      <c r="F1003" s="14"/>
      <c r="G1003" s="5"/>
      <c r="H1003" s="14"/>
      <c r="I1003" s="15"/>
      <c r="J1003" s="55">
        <f t="shared" si="31"/>
        <v>0</v>
      </c>
    </row>
    <row r="1004" spans="1:10" ht="18.75" x14ac:dyDescent="0.3">
      <c r="A1004" s="8" t="s">
        <v>917</v>
      </c>
      <c r="B1004" s="9" t="s">
        <v>918</v>
      </c>
      <c r="C1004" s="9" t="s">
        <v>720</v>
      </c>
      <c r="F1004" s="14"/>
      <c r="G1004" s="5"/>
      <c r="H1004" s="14">
        <v>265.90000000000003</v>
      </c>
      <c r="I1004" s="15">
        <f>H1004*(1-'[1]Discounts page'!D$20)</f>
        <v>159.54000000000002</v>
      </c>
      <c r="J1004" s="55">
        <f t="shared" si="31"/>
        <v>240</v>
      </c>
    </row>
    <row r="1005" spans="1:10" ht="18.75" x14ac:dyDescent="0.3">
      <c r="A1005" s="8" t="s">
        <v>919</v>
      </c>
      <c r="B1005" s="9" t="s">
        <v>920</v>
      </c>
      <c r="C1005" s="9" t="s">
        <v>720</v>
      </c>
      <c r="F1005" s="14"/>
      <c r="G1005" s="5"/>
      <c r="H1005" s="14">
        <v>265.90000000000003</v>
      </c>
      <c r="I1005" s="15">
        <f>H1005*(1-'[1]Discounts page'!D$20)</f>
        <v>159.54000000000002</v>
      </c>
      <c r="J1005" s="55">
        <f t="shared" si="31"/>
        <v>240</v>
      </c>
    </row>
    <row r="1006" spans="1:10" ht="18.75" x14ac:dyDescent="0.3">
      <c r="A1006" s="8" t="s">
        <v>921</v>
      </c>
      <c r="B1006" s="9" t="s">
        <v>922</v>
      </c>
      <c r="C1006" s="9" t="s">
        <v>720</v>
      </c>
      <c r="F1006" s="14"/>
      <c r="G1006" s="5"/>
      <c r="H1006" s="14">
        <v>265.90000000000003</v>
      </c>
      <c r="I1006" s="15">
        <f>H1006*(1-'[1]Discounts page'!D$20)</f>
        <v>159.54000000000002</v>
      </c>
      <c r="J1006" s="55">
        <f t="shared" si="31"/>
        <v>240</v>
      </c>
    </row>
    <row r="1007" spans="1:10" ht="18.75" x14ac:dyDescent="0.3">
      <c r="A1007" s="8" t="s">
        <v>923</v>
      </c>
      <c r="B1007" s="9" t="s">
        <v>924</v>
      </c>
      <c r="C1007" s="9" t="s">
        <v>720</v>
      </c>
      <c r="F1007" s="14"/>
      <c r="G1007" s="5"/>
      <c r="H1007" s="14">
        <v>265.90000000000003</v>
      </c>
      <c r="I1007" s="15">
        <f>H1007*(1-'[1]Discounts page'!D$20)</f>
        <v>159.54000000000002</v>
      </c>
      <c r="J1007" s="55">
        <f t="shared" si="31"/>
        <v>240</v>
      </c>
    </row>
    <row r="1008" spans="1:10" ht="18.75" x14ac:dyDescent="0.3">
      <c r="A1008" s="8" t="s">
        <v>925</v>
      </c>
      <c r="B1008" s="9" t="s">
        <v>926</v>
      </c>
      <c r="C1008" s="9" t="s">
        <v>720</v>
      </c>
      <c r="F1008" s="14"/>
      <c r="G1008" s="5"/>
      <c r="H1008" s="14">
        <v>265.90000000000003</v>
      </c>
      <c r="I1008" s="15">
        <f>H1008*(1-'[1]Discounts page'!D$20)</f>
        <v>159.54000000000002</v>
      </c>
      <c r="J1008" s="55">
        <f t="shared" si="31"/>
        <v>240</v>
      </c>
    </row>
    <row r="1009" spans="1:10" ht="18.75" x14ac:dyDescent="0.3">
      <c r="A1009" s="8" t="s">
        <v>927</v>
      </c>
      <c r="B1009" s="9" t="s">
        <v>928</v>
      </c>
      <c r="C1009" s="9" t="s">
        <v>720</v>
      </c>
      <c r="F1009" s="14"/>
      <c r="G1009" s="5"/>
      <c r="H1009" s="14">
        <v>268.5</v>
      </c>
      <c r="I1009" s="15">
        <f>H1009*(1-'[1]Discounts page'!D$20)</f>
        <v>161.1</v>
      </c>
      <c r="J1009" s="55">
        <f t="shared" si="31"/>
        <v>242</v>
      </c>
    </row>
    <row r="1010" spans="1:10" ht="18.75" x14ac:dyDescent="0.3">
      <c r="A1010" s="8" t="s">
        <v>929</v>
      </c>
      <c r="B1010" s="9" t="s">
        <v>930</v>
      </c>
      <c r="C1010" s="9" t="s">
        <v>720</v>
      </c>
      <c r="F1010" s="14"/>
      <c r="G1010" s="5"/>
      <c r="H1010" s="14">
        <v>271</v>
      </c>
      <c r="I1010" s="15">
        <f>H1010*(1-'[1]Discounts page'!D$20)</f>
        <v>162.6</v>
      </c>
      <c r="J1010" s="55">
        <f t="shared" si="31"/>
        <v>244</v>
      </c>
    </row>
    <row r="1011" spans="1:10" ht="18.75" x14ac:dyDescent="0.3">
      <c r="A1011" s="8" t="s">
        <v>931</v>
      </c>
      <c r="B1011" s="9" t="s">
        <v>932</v>
      </c>
      <c r="C1011" s="9" t="s">
        <v>720</v>
      </c>
      <c r="F1011" s="14"/>
      <c r="G1011" s="5"/>
      <c r="H1011" s="14">
        <v>273.7</v>
      </c>
      <c r="I1011" s="15">
        <f>H1011*(1-'[1]Discounts page'!D$20)</f>
        <v>164.22</v>
      </c>
      <c r="J1011" s="55">
        <f t="shared" si="31"/>
        <v>247</v>
      </c>
    </row>
    <row r="1012" spans="1:10" ht="18.75" x14ac:dyDescent="0.3">
      <c r="A1012" s="8" t="s">
        <v>933</v>
      </c>
      <c r="B1012" s="9" t="s">
        <v>934</v>
      </c>
      <c r="C1012" s="9" t="s">
        <v>720</v>
      </c>
      <c r="F1012" s="14"/>
      <c r="G1012" s="5"/>
      <c r="H1012" s="14">
        <v>276.3</v>
      </c>
      <c r="I1012" s="15">
        <f>H1012*(1-'[1]Discounts page'!D$20)</f>
        <v>165.78</v>
      </c>
      <c r="J1012" s="55">
        <f t="shared" si="31"/>
        <v>249</v>
      </c>
    </row>
    <row r="1013" spans="1:10" ht="18.75" x14ac:dyDescent="0.3">
      <c r="A1013" s="8" t="s">
        <v>935</v>
      </c>
      <c r="B1013" s="9" t="s">
        <v>936</v>
      </c>
      <c r="C1013" s="9" t="s">
        <v>720</v>
      </c>
      <c r="F1013" s="14"/>
      <c r="G1013" s="5"/>
      <c r="H1013" s="14">
        <v>278.8</v>
      </c>
      <c r="I1013" s="15">
        <f>H1013*(1-'[1]Discounts page'!D$20)</f>
        <v>167.28</v>
      </c>
      <c r="J1013" s="55">
        <f t="shared" si="31"/>
        <v>251</v>
      </c>
    </row>
    <row r="1014" spans="1:10" ht="18.75" x14ac:dyDescent="0.3">
      <c r="A1014" s="8" t="s">
        <v>937</v>
      </c>
      <c r="B1014" s="9" t="s">
        <v>938</v>
      </c>
      <c r="C1014" s="9" t="s">
        <v>720</v>
      </c>
      <c r="F1014" s="14"/>
      <c r="G1014" s="5"/>
      <c r="H1014" s="14">
        <v>281.5</v>
      </c>
      <c r="I1014" s="15">
        <f>H1014*(1-'[1]Discounts page'!D$20)</f>
        <v>168.9</v>
      </c>
      <c r="J1014" s="55">
        <f t="shared" si="31"/>
        <v>254</v>
      </c>
    </row>
    <row r="1015" spans="1:10" ht="18.75" x14ac:dyDescent="0.3">
      <c r="A1015" s="8" t="s">
        <v>939</v>
      </c>
      <c r="B1015" s="9" t="s">
        <v>940</v>
      </c>
      <c r="C1015" s="9" t="s">
        <v>720</v>
      </c>
      <c r="F1015" s="14"/>
      <c r="G1015" s="5"/>
      <c r="H1015" s="14">
        <v>284.10000000000002</v>
      </c>
      <c r="I1015" s="15">
        <f>H1015*(1-'[1]Discounts page'!D$20)</f>
        <v>170.46</v>
      </c>
      <c r="J1015" s="55">
        <f t="shared" si="31"/>
        <v>256</v>
      </c>
    </row>
    <row r="1016" spans="1:10" ht="18.75" x14ac:dyDescent="0.3">
      <c r="A1016" s="8" t="s">
        <v>941</v>
      </c>
      <c r="B1016" s="9" t="s">
        <v>942</v>
      </c>
      <c r="C1016" s="9" t="s">
        <v>720</v>
      </c>
      <c r="F1016" s="14"/>
      <c r="G1016" s="5"/>
      <c r="H1016" s="14">
        <v>297.8</v>
      </c>
      <c r="I1016" s="15">
        <f>H1016*(1-'[1]Discounts page'!D$20)</f>
        <v>178.68</v>
      </c>
      <c r="J1016" s="55">
        <f t="shared" si="31"/>
        <v>269</v>
      </c>
    </row>
    <row r="1017" spans="1:10" ht="18.75" x14ac:dyDescent="0.3">
      <c r="A1017" s="8" t="s">
        <v>943</v>
      </c>
      <c r="B1017" s="9" t="s">
        <v>944</v>
      </c>
      <c r="C1017" s="9" t="s">
        <v>720</v>
      </c>
      <c r="F1017" s="14"/>
      <c r="G1017" s="5"/>
      <c r="H1017" s="14">
        <v>300.40000000000003</v>
      </c>
      <c r="I1017" s="15">
        <f>H1017*(1-'[1]Discounts page'!D$20)</f>
        <v>180.24</v>
      </c>
      <c r="J1017" s="55">
        <f t="shared" ref="J1017:J1080" si="32">ROUNDUP(I1017*1.5,0)</f>
        <v>271</v>
      </c>
    </row>
    <row r="1018" spans="1:10" ht="18.75" x14ac:dyDescent="0.3">
      <c r="A1018" s="8" t="s">
        <v>945</v>
      </c>
      <c r="B1018" s="9" t="s">
        <v>946</v>
      </c>
      <c r="C1018" s="9" t="s">
        <v>720</v>
      </c>
      <c r="F1018" s="14"/>
      <c r="G1018" s="5"/>
      <c r="H1018" s="14">
        <v>302.8</v>
      </c>
      <c r="I1018" s="15">
        <f>H1018*(1-'[1]Discounts page'!D$20)</f>
        <v>181.68</v>
      </c>
      <c r="J1018" s="55">
        <f t="shared" si="32"/>
        <v>273</v>
      </c>
    </row>
    <row r="1019" spans="1:10" ht="18.75" x14ac:dyDescent="0.3">
      <c r="A1019" s="8" t="s">
        <v>947</v>
      </c>
      <c r="B1019" s="9" t="s">
        <v>948</v>
      </c>
      <c r="C1019" s="9" t="s">
        <v>720</v>
      </c>
      <c r="F1019" s="14"/>
      <c r="G1019" s="5"/>
      <c r="H1019" s="14">
        <v>318.90000000000003</v>
      </c>
      <c r="I1019" s="15">
        <f>H1019*(1-'[1]Discounts page'!D$20)</f>
        <v>191.34</v>
      </c>
      <c r="J1019" s="55">
        <f t="shared" si="32"/>
        <v>288</v>
      </c>
    </row>
    <row r="1020" spans="1:10" ht="18.75" x14ac:dyDescent="0.3">
      <c r="A1020" s="8" t="s">
        <v>949</v>
      </c>
      <c r="B1020" s="9" t="s">
        <v>950</v>
      </c>
      <c r="C1020" s="9" t="s">
        <v>720</v>
      </c>
      <c r="F1020" s="14"/>
      <c r="G1020" s="5"/>
      <c r="H1020" s="14">
        <v>321.70000000000005</v>
      </c>
      <c r="I1020" s="15">
        <f>H1020*(1-'[1]Discounts page'!D$20)</f>
        <v>193.02</v>
      </c>
      <c r="J1020" s="55">
        <f t="shared" si="32"/>
        <v>290</v>
      </c>
    </row>
    <row r="1021" spans="1:10" ht="18.75" x14ac:dyDescent="0.3">
      <c r="A1021" s="8" t="s">
        <v>951</v>
      </c>
      <c r="B1021" s="9" t="s">
        <v>952</v>
      </c>
      <c r="C1021" s="9" t="s">
        <v>720</v>
      </c>
      <c r="F1021" s="14"/>
      <c r="G1021" s="5"/>
      <c r="H1021" s="14">
        <v>324.20000000000005</v>
      </c>
      <c r="I1021" s="15">
        <f>H1021*(1-'[1]Discounts page'!D$20)</f>
        <v>194.52</v>
      </c>
      <c r="J1021" s="55">
        <f t="shared" si="32"/>
        <v>292</v>
      </c>
    </row>
    <row r="1022" spans="1:10" ht="18.75" x14ac:dyDescent="0.3">
      <c r="A1022" s="8" t="s">
        <v>953</v>
      </c>
      <c r="B1022" s="9" t="s">
        <v>954</v>
      </c>
      <c r="C1022" s="9" t="s">
        <v>720</v>
      </c>
      <c r="F1022" s="14"/>
      <c r="G1022" s="5"/>
      <c r="H1022" s="14">
        <v>326.8</v>
      </c>
      <c r="I1022" s="15">
        <f>H1022*(1-'[1]Discounts page'!D$20)</f>
        <v>196.08</v>
      </c>
      <c r="J1022" s="55">
        <f t="shared" si="32"/>
        <v>295</v>
      </c>
    </row>
    <row r="1023" spans="1:10" ht="18.75" x14ac:dyDescent="0.3">
      <c r="A1023" s="8" t="s">
        <v>955</v>
      </c>
      <c r="B1023" s="9" t="s">
        <v>956</v>
      </c>
      <c r="C1023" s="9" t="s">
        <v>720</v>
      </c>
      <c r="F1023" s="14"/>
      <c r="G1023" s="5"/>
      <c r="H1023" s="14">
        <v>372.3</v>
      </c>
      <c r="I1023" s="15">
        <f>H1023*(1-'[1]Discounts page'!D$20)</f>
        <v>223.38</v>
      </c>
      <c r="J1023" s="55">
        <f t="shared" si="32"/>
        <v>336</v>
      </c>
    </row>
    <row r="1024" spans="1:10" ht="18.75" x14ac:dyDescent="0.3">
      <c r="A1024" s="8" t="s">
        <v>957</v>
      </c>
      <c r="B1024" s="9" t="s">
        <v>958</v>
      </c>
      <c r="C1024" s="9" t="s">
        <v>720</v>
      </c>
      <c r="F1024" s="14"/>
      <c r="G1024" s="5"/>
      <c r="H1024" s="14">
        <v>374.70000000000005</v>
      </c>
      <c r="I1024" s="15">
        <f>H1024*(1-'[1]Discounts page'!D$20)</f>
        <v>224.82000000000002</v>
      </c>
      <c r="J1024" s="55">
        <f t="shared" si="32"/>
        <v>338</v>
      </c>
    </row>
    <row r="1025" spans="1:10" ht="18.75" x14ac:dyDescent="0.3">
      <c r="A1025" s="8" t="s">
        <v>959</v>
      </c>
      <c r="B1025" s="9" t="s">
        <v>960</v>
      </c>
      <c r="C1025" s="9" t="s">
        <v>720</v>
      </c>
      <c r="F1025" s="14"/>
      <c r="G1025" s="5"/>
      <c r="H1025" s="14">
        <v>377.5</v>
      </c>
      <c r="I1025" s="15">
        <f>H1025*(1-'[1]Discounts page'!D$20)</f>
        <v>226.5</v>
      </c>
      <c r="J1025" s="55">
        <f t="shared" si="32"/>
        <v>340</v>
      </c>
    </row>
    <row r="1026" spans="1:10" ht="18.75" x14ac:dyDescent="0.3">
      <c r="A1026" s="8" t="s">
        <v>961</v>
      </c>
      <c r="B1026" s="9" t="s">
        <v>962</v>
      </c>
      <c r="C1026" s="9" t="s">
        <v>720</v>
      </c>
      <c r="F1026" s="14"/>
      <c r="G1026" s="5"/>
      <c r="H1026" s="14">
        <v>380</v>
      </c>
      <c r="I1026" s="15">
        <f>H1026*(1-'[1]Discounts page'!D$20)</f>
        <v>228</v>
      </c>
      <c r="J1026" s="55">
        <f t="shared" si="32"/>
        <v>342</v>
      </c>
    </row>
    <row r="1027" spans="1:10" ht="18.75" x14ac:dyDescent="0.3">
      <c r="A1027" s="8" t="s">
        <v>963</v>
      </c>
      <c r="B1027" s="9" t="s">
        <v>964</v>
      </c>
      <c r="C1027" s="9" t="s">
        <v>720</v>
      </c>
      <c r="F1027" s="14"/>
      <c r="G1027" s="5"/>
      <c r="H1027" s="14">
        <v>382.70000000000005</v>
      </c>
      <c r="I1027" s="15">
        <f>H1027*(1-'[1]Discounts page'!D$20)</f>
        <v>229.62000000000003</v>
      </c>
      <c r="J1027" s="55">
        <f t="shared" si="32"/>
        <v>345</v>
      </c>
    </row>
    <row r="1028" spans="1:10" ht="18.75" x14ac:dyDescent="0.3">
      <c r="A1028" s="8" t="s">
        <v>965</v>
      </c>
      <c r="B1028" s="9" t="s">
        <v>966</v>
      </c>
      <c r="C1028" s="9" t="s">
        <v>720</v>
      </c>
      <c r="F1028" s="14"/>
      <c r="G1028" s="5"/>
      <c r="H1028" s="14">
        <v>385.20000000000005</v>
      </c>
      <c r="I1028" s="15">
        <f>H1028*(1-'[1]Discounts page'!D$20)</f>
        <v>231.12</v>
      </c>
      <c r="J1028" s="55">
        <f t="shared" si="32"/>
        <v>347</v>
      </c>
    </row>
    <row r="1029" spans="1:10" ht="18.75" x14ac:dyDescent="0.3">
      <c r="A1029" s="8" t="s">
        <v>967</v>
      </c>
      <c r="B1029" s="9" t="s">
        <v>968</v>
      </c>
      <c r="C1029" s="9" t="s">
        <v>720</v>
      </c>
      <c r="F1029" s="14"/>
      <c r="G1029" s="5"/>
      <c r="H1029" s="14">
        <v>387.8</v>
      </c>
      <c r="I1029" s="15">
        <f>H1029*(1-'[1]Discounts page'!D$20)</f>
        <v>232.68</v>
      </c>
      <c r="J1029" s="55">
        <f t="shared" si="32"/>
        <v>350</v>
      </c>
    </row>
    <row r="1030" spans="1:10" ht="18.75" x14ac:dyDescent="0.3">
      <c r="A1030" s="8" t="s">
        <v>969</v>
      </c>
      <c r="B1030" s="9" t="s">
        <v>970</v>
      </c>
      <c r="C1030" s="9" t="s">
        <v>720</v>
      </c>
      <c r="F1030" s="14"/>
      <c r="G1030" s="5"/>
      <c r="H1030" s="14">
        <v>390.40000000000003</v>
      </c>
      <c r="I1030" s="15">
        <f>H1030*(1-'[1]Discounts page'!D$20)</f>
        <v>234.24</v>
      </c>
      <c r="J1030" s="55">
        <f t="shared" si="32"/>
        <v>352</v>
      </c>
    </row>
    <row r="1031" spans="1:10" ht="18.75" x14ac:dyDescent="0.3">
      <c r="A1031" s="8" t="s">
        <v>971</v>
      </c>
      <c r="B1031" s="9" t="s">
        <v>972</v>
      </c>
      <c r="C1031" s="9" t="s">
        <v>720</v>
      </c>
      <c r="F1031" s="14"/>
      <c r="G1031" s="5"/>
      <c r="H1031" s="14">
        <v>425.3</v>
      </c>
      <c r="I1031" s="15">
        <f>H1031*(1-'[1]Discounts page'!D$20)</f>
        <v>255.18</v>
      </c>
      <c r="J1031" s="55">
        <f t="shared" si="32"/>
        <v>383</v>
      </c>
    </row>
    <row r="1032" spans="1:10" ht="18.75" x14ac:dyDescent="0.3">
      <c r="A1032" s="8" t="s">
        <v>973</v>
      </c>
      <c r="B1032" s="9" t="s">
        <v>974</v>
      </c>
      <c r="C1032" s="9" t="s">
        <v>720</v>
      </c>
      <c r="F1032" s="14"/>
      <c r="G1032" s="5"/>
      <c r="H1032" s="14">
        <v>427.8</v>
      </c>
      <c r="I1032" s="15">
        <f>H1032*(1-'[1]Discounts page'!D$20)</f>
        <v>256.68</v>
      </c>
      <c r="J1032" s="55">
        <f t="shared" si="32"/>
        <v>386</v>
      </c>
    </row>
    <row r="1033" spans="1:10" ht="18.75" x14ac:dyDescent="0.3">
      <c r="A1033" s="8" t="s">
        <v>975</v>
      </c>
      <c r="B1033" s="9" t="s">
        <v>976</v>
      </c>
      <c r="C1033" s="9" t="s">
        <v>720</v>
      </c>
      <c r="F1033" s="14"/>
      <c r="G1033" s="5"/>
      <c r="H1033" s="14">
        <v>430.40000000000003</v>
      </c>
      <c r="I1033" s="15">
        <f>H1033*(1-'[1]Discounts page'!D$20)</f>
        <v>258.24</v>
      </c>
      <c r="J1033" s="55">
        <f t="shared" si="32"/>
        <v>388</v>
      </c>
    </row>
    <row r="1034" spans="1:10" ht="18.75" x14ac:dyDescent="0.3">
      <c r="A1034" s="8" t="s">
        <v>977</v>
      </c>
      <c r="B1034" s="9" t="s">
        <v>978</v>
      </c>
      <c r="C1034" s="9" t="s">
        <v>720</v>
      </c>
      <c r="F1034" s="14"/>
      <c r="G1034" s="5"/>
      <c r="H1034" s="14">
        <v>433</v>
      </c>
      <c r="I1034" s="15">
        <f>H1034*(1-'[1]Discounts page'!D$20)</f>
        <v>259.8</v>
      </c>
      <c r="J1034" s="55">
        <f t="shared" si="32"/>
        <v>390</v>
      </c>
    </row>
    <row r="1035" spans="1:10" ht="18.75" x14ac:dyDescent="0.3">
      <c r="A1035" s="8" t="s">
        <v>979</v>
      </c>
      <c r="B1035" s="9" t="s">
        <v>980</v>
      </c>
      <c r="C1035" s="9" t="s">
        <v>720</v>
      </c>
      <c r="F1035" s="14"/>
      <c r="G1035" s="5"/>
      <c r="H1035" s="14">
        <v>435.70000000000005</v>
      </c>
      <c r="I1035" s="15">
        <f>H1035*(1-'[1]Discounts page'!D$20)</f>
        <v>261.42</v>
      </c>
      <c r="J1035" s="55">
        <f t="shared" si="32"/>
        <v>393</v>
      </c>
    </row>
    <row r="1036" spans="1:10" ht="18.75" x14ac:dyDescent="0.3">
      <c r="A1036" s="8" t="s">
        <v>981</v>
      </c>
      <c r="B1036" s="9" t="s">
        <v>982</v>
      </c>
      <c r="C1036" s="9" t="s">
        <v>720</v>
      </c>
      <c r="F1036" s="14"/>
      <c r="G1036" s="5"/>
      <c r="H1036" s="14">
        <v>478.3</v>
      </c>
      <c r="I1036" s="15">
        <f>H1036*(1-'[1]Discounts page'!D$20)</f>
        <v>286.98</v>
      </c>
      <c r="J1036" s="55">
        <f t="shared" si="32"/>
        <v>431</v>
      </c>
    </row>
    <row r="1037" spans="1:10" ht="18.75" x14ac:dyDescent="0.3">
      <c r="A1037" s="8" t="s">
        <v>983</v>
      </c>
      <c r="B1037" s="9" t="s">
        <v>984</v>
      </c>
      <c r="C1037" s="9" t="s">
        <v>720</v>
      </c>
      <c r="F1037" s="14"/>
      <c r="G1037" s="5"/>
      <c r="H1037" s="14">
        <v>481.1</v>
      </c>
      <c r="I1037" s="15">
        <f>H1037*(1-'[1]Discounts page'!D$20)</f>
        <v>288.66000000000003</v>
      </c>
      <c r="J1037" s="55">
        <f t="shared" si="32"/>
        <v>433</v>
      </c>
    </row>
    <row r="1038" spans="1:10" ht="18.75" x14ac:dyDescent="0.3">
      <c r="A1038" s="8" t="s">
        <v>985</v>
      </c>
      <c r="B1038" s="9" t="s">
        <v>986</v>
      </c>
      <c r="C1038" s="9" t="s">
        <v>720</v>
      </c>
      <c r="F1038" s="14"/>
      <c r="G1038" s="5"/>
      <c r="H1038" s="14">
        <v>483.6</v>
      </c>
      <c r="I1038" s="15">
        <f>H1038*(1-'[1]Discounts page'!D$20)</f>
        <v>290.16000000000003</v>
      </c>
      <c r="J1038" s="55">
        <f t="shared" si="32"/>
        <v>436</v>
      </c>
    </row>
    <row r="1039" spans="1:10" ht="18.75" x14ac:dyDescent="0.3">
      <c r="A1039" s="8" t="s">
        <v>987</v>
      </c>
      <c r="B1039" s="9" t="s">
        <v>988</v>
      </c>
      <c r="C1039" s="9" t="s">
        <v>720</v>
      </c>
      <c r="F1039" s="14"/>
      <c r="G1039" s="5"/>
      <c r="H1039" s="14">
        <v>486.3</v>
      </c>
      <c r="I1039" s="15">
        <f>H1039*(1-'[1]Discounts page'!D$20)</f>
        <v>291.77999999999997</v>
      </c>
      <c r="J1039" s="55">
        <f t="shared" si="32"/>
        <v>438</v>
      </c>
    </row>
    <row r="1040" spans="1:10" ht="18.75" x14ac:dyDescent="0.3">
      <c r="A1040" s="8" t="s">
        <v>989</v>
      </c>
      <c r="B1040" s="9" t="s">
        <v>990</v>
      </c>
      <c r="C1040" s="9" t="s">
        <v>720</v>
      </c>
      <c r="F1040" s="14"/>
      <c r="G1040" s="5"/>
      <c r="H1040" s="14">
        <v>488.8</v>
      </c>
      <c r="I1040" s="15">
        <f>H1040*(1-'[1]Discounts page'!D$20)</f>
        <v>293.27999999999997</v>
      </c>
      <c r="J1040" s="55">
        <f t="shared" si="32"/>
        <v>440</v>
      </c>
    </row>
    <row r="1041" spans="1:10" ht="18.75" x14ac:dyDescent="0.3">
      <c r="A1041" s="8" t="s">
        <v>991</v>
      </c>
      <c r="B1041" s="9" t="s">
        <v>992</v>
      </c>
      <c r="C1041" s="9" t="s">
        <v>720</v>
      </c>
      <c r="F1041" s="14"/>
      <c r="G1041" s="5"/>
      <c r="H1041" s="14">
        <v>590.5</v>
      </c>
      <c r="I1041" s="15">
        <f>H1041*(1-'[1]Discounts page'!D$20)</f>
        <v>354.3</v>
      </c>
      <c r="J1041" s="55">
        <f t="shared" si="32"/>
        <v>532</v>
      </c>
    </row>
    <row r="1042" spans="1:10" ht="18.75" x14ac:dyDescent="0.3">
      <c r="A1042" s="8" t="s">
        <v>993</v>
      </c>
      <c r="B1042" s="9" t="s">
        <v>994</v>
      </c>
      <c r="C1042" s="9" t="s">
        <v>720</v>
      </c>
      <c r="F1042" s="14"/>
      <c r="G1042" s="5"/>
      <c r="H1042" s="14">
        <v>593.20000000000005</v>
      </c>
      <c r="I1042" s="15">
        <f>H1042*(1-'[1]Discounts page'!D$20)</f>
        <v>355.92</v>
      </c>
      <c r="J1042" s="55">
        <f t="shared" si="32"/>
        <v>534</v>
      </c>
    </row>
    <row r="1043" spans="1:10" ht="18.75" x14ac:dyDescent="0.3">
      <c r="A1043" s="8" t="s">
        <v>995</v>
      </c>
      <c r="B1043" s="9" t="s">
        <v>996</v>
      </c>
      <c r="C1043" s="9" t="s">
        <v>720</v>
      </c>
      <c r="F1043" s="14"/>
      <c r="G1043" s="5"/>
      <c r="H1043" s="14">
        <v>595.6</v>
      </c>
      <c r="I1043" s="15">
        <f>H1043*(1-'[1]Discounts page'!D$20)</f>
        <v>357.36</v>
      </c>
      <c r="J1043" s="55">
        <f t="shared" si="32"/>
        <v>537</v>
      </c>
    </row>
    <row r="1044" spans="1:10" ht="18.75" x14ac:dyDescent="0.3">
      <c r="A1044" s="8" t="s">
        <v>997</v>
      </c>
      <c r="B1044" s="9" t="s">
        <v>998</v>
      </c>
      <c r="C1044" s="9" t="s">
        <v>720</v>
      </c>
      <c r="F1044" s="14"/>
      <c r="G1044" s="5"/>
      <c r="H1044" s="14">
        <v>598.30000000000007</v>
      </c>
      <c r="I1044" s="15">
        <f>H1044*(1-'[1]Discounts page'!D$20)</f>
        <v>358.98</v>
      </c>
      <c r="J1044" s="55">
        <f t="shared" si="32"/>
        <v>539</v>
      </c>
    </row>
    <row r="1045" spans="1:10" ht="18.75" x14ac:dyDescent="0.3">
      <c r="A1045" s="8" t="s">
        <v>999</v>
      </c>
      <c r="B1045" s="9" t="s">
        <v>1000</v>
      </c>
      <c r="C1045" s="9" t="s">
        <v>720</v>
      </c>
      <c r="F1045" s="14"/>
      <c r="G1045" s="5"/>
      <c r="H1045" s="14">
        <v>600.9</v>
      </c>
      <c r="I1045" s="15">
        <f>H1045*(1-'[1]Discounts page'!D$20)</f>
        <v>360.53999999999996</v>
      </c>
      <c r="J1045" s="55">
        <f t="shared" si="32"/>
        <v>541</v>
      </c>
    </row>
    <row r="1046" spans="1:10" ht="18.75" x14ac:dyDescent="0.3">
      <c r="A1046" s="8" t="s">
        <v>1001</v>
      </c>
      <c r="B1046" s="9" t="s">
        <v>1002</v>
      </c>
      <c r="C1046" s="9" t="s">
        <v>720</v>
      </c>
      <c r="F1046" s="14"/>
      <c r="G1046" s="5"/>
      <c r="H1046" s="14">
        <v>649.5</v>
      </c>
      <c r="I1046" s="15">
        <f>H1046*(1-'[1]Discounts page'!D$20)</f>
        <v>389.7</v>
      </c>
      <c r="J1046" s="55">
        <f t="shared" si="32"/>
        <v>585</v>
      </c>
    </row>
    <row r="1047" spans="1:10" ht="18.75" x14ac:dyDescent="0.3">
      <c r="A1047" s="8" t="s">
        <v>1003</v>
      </c>
      <c r="B1047" s="9" t="s">
        <v>1004</v>
      </c>
      <c r="C1047" s="9" t="s">
        <v>720</v>
      </c>
      <c r="F1047" s="14"/>
      <c r="G1047" s="5"/>
      <c r="H1047" s="14">
        <v>652.1</v>
      </c>
      <c r="I1047" s="15">
        <f>H1047*(1-'[1]Discounts page'!D$20)</f>
        <v>391.26</v>
      </c>
      <c r="J1047" s="55">
        <f t="shared" si="32"/>
        <v>587</v>
      </c>
    </row>
    <row r="1048" spans="1:10" ht="18.75" x14ac:dyDescent="0.3">
      <c r="A1048" s="8" t="s">
        <v>1005</v>
      </c>
      <c r="B1048" s="9" t="s">
        <v>1006</v>
      </c>
      <c r="C1048" s="9" t="s">
        <v>720</v>
      </c>
      <c r="F1048" s="14"/>
      <c r="G1048" s="5"/>
      <c r="H1048" s="14">
        <v>654.6</v>
      </c>
      <c r="I1048" s="15">
        <f>H1048*(1-'[1]Discounts page'!D$20)</f>
        <v>392.76</v>
      </c>
      <c r="J1048" s="55">
        <f t="shared" si="32"/>
        <v>590</v>
      </c>
    </row>
    <row r="1049" spans="1:10" ht="18.75" x14ac:dyDescent="0.3">
      <c r="A1049" s="8" t="s">
        <v>1007</v>
      </c>
      <c r="B1049" s="9" t="s">
        <v>1008</v>
      </c>
      <c r="C1049" s="9" t="s">
        <v>720</v>
      </c>
      <c r="F1049" s="14"/>
      <c r="G1049" s="5"/>
      <c r="H1049" s="14">
        <v>657.30000000000007</v>
      </c>
      <c r="I1049" s="15">
        <f>H1049*(1-'[1]Discounts page'!D$20)</f>
        <v>394.38000000000005</v>
      </c>
      <c r="J1049" s="55">
        <f t="shared" si="32"/>
        <v>592</v>
      </c>
    </row>
    <row r="1050" spans="1:10" ht="18.75" x14ac:dyDescent="0.3">
      <c r="A1050" s="8" t="s">
        <v>1009</v>
      </c>
      <c r="B1050" s="9" t="s">
        <v>1010</v>
      </c>
      <c r="C1050" s="9" t="s">
        <v>720</v>
      </c>
      <c r="F1050" s="14"/>
      <c r="G1050" s="5"/>
      <c r="H1050" s="14">
        <v>659.80000000000007</v>
      </c>
      <c r="I1050" s="15">
        <f>H1050*(1-'[1]Discounts page'!D$20)</f>
        <v>395.88000000000005</v>
      </c>
      <c r="J1050" s="55">
        <f t="shared" si="32"/>
        <v>594</v>
      </c>
    </row>
    <row r="1051" spans="1:10" ht="18.75" x14ac:dyDescent="0.3">
      <c r="A1051" s="8" t="s">
        <v>1011</v>
      </c>
      <c r="B1051" s="9" t="s">
        <v>1012</v>
      </c>
      <c r="C1051" s="9" t="s">
        <v>720</v>
      </c>
      <c r="F1051" s="14"/>
      <c r="G1051" s="5"/>
      <c r="H1051" s="14">
        <v>708.4</v>
      </c>
      <c r="I1051" s="15">
        <f>H1051*(1-'[1]Discounts page'!D$20)</f>
        <v>425.03999999999996</v>
      </c>
      <c r="J1051" s="55">
        <f t="shared" si="32"/>
        <v>638</v>
      </c>
    </row>
    <row r="1052" spans="1:10" ht="18.75" x14ac:dyDescent="0.3">
      <c r="A1052" s="8" t="s">
        <v>1013</v>
      </c>
      <c r="B1052" s="9" t="s">
        <v>1014</v>
      </c>
      <c r="C1052" s="9" t="s">
        <v>720</v>
      </c>
      <c r="F1052" s="14"/>
      <c r="G1052" s="5"/>
      <c r="H1052" s="14">
        <v>711.2</v>
      </c>
      <c r="I1052" s="15">
        <f>H1052*(1-'[1]Discounts page'!D$20)</f>
        <v>426.72</v>
      </c>
      <c r="J1052" s="55">
        <f t="shared" si="32"/>
        <v>641</v>
      </c>
    </row>
    <row r="1053" spans="1:10" ht="18.75" x14ac:dyDescent="0.3">
      <c r="A1053" s="8" t="s">
        <v>1015</v>
      </c>
      <c r="B1053" s="9" t="s">
        <v>1016</v>
      </c>
      <c r="C1053" s="9" t="s">
        <v>720</v>
      </c>
      <c r="F1053" s="14"/>
      <c r="G1053" s="5"/>
      <c r="H1053" s="14">
        <v>713.7</v>
      </c>
      <c r="I1053" s="15">
        <f>H1053*(1-'[1]Discounts page'!D$20)</f>
        <v>428.22</v>
      </c>
      <c r="J1053" s="55">
        <f t="shared" si="32"/>
        <v>643</v>
      </c>
    </row>
    <row r="1054" spans="1:10" ht="18.75" x14ac:dyDescent="0.3">
      <c r="A1054" s="8" t="s">
        <v>1017</v>
      </c>
      <c r="B1054" s="9" t="s">
        <v>1018</v>
      </c>
      <c r="C1054" s="9" t="s">
        <v>720</v>
      </c>
      <c r="F1054" s="14"/>
      <c r="G1054" s="5"/>
      <c r="H1054" s="14">
        <v>716.30000000000007</v>
      </c>
      <c r="I1054" s="15">
        <f>H1054*(1-'[1]Discounts page'!D$20)</f>
        <v>429.78000000000003</v>
      </c>
      <c r="J1054" s="55">
        <f t="shared" si="32"/>
        <v>645</v>
      </c>
    </row>
    <row r="1055" spans="1:10" ht="18.75" x14ac:dyDescent="0.3">
      <c r="A1055" s="8" t="s">
        <v>1019</v>
      </c>
      <c r="B1055" s="9" t="s">
        <v>1020</v>
      </c>
      <c r="C1055" s="9" t="s">
        <v>720</v>
      </c>
      <c r="F1055" s="14"/>
      <c r="G1055" s="5"/>
      <c r="H1055" s="14">
        <v>718.80000000000007</v>
      </c>
      <c r="I1055" s="15">
        <f>H1055*(1-'[1]Discounts page'!D$20)</f>
        <v>431.28000000000003</v>
      </c>
      <c r="J1055" s="55">
        <f t="shared" si="32"/>
        <v>647</v>
      </c>
    </row>
    <row r="1056" spans="1:10" ht="18.75" x14ac:dyDescent="0.3">
      <c r="A1056" s="8" t="s">
        <v>1021</v>
      </c>
      <c r="B1056" s="9" t="s">
        <v>1022</v>
      </c>
      <c r="C1056" s="9" t="s">
        <v>720</v>
      </c>
      <c r="F1056" s="14"/>
      <c r="G1056" s="5"/>
      <c r="H1056" s="14">
        <v>767.7</v>
      </c>
      <c r="I1056" s="15">
        <f>H1056*(1-'[1]Discounts page'!D$20)</f>
        <v>460.62</v>
      </c>
      <c r="J1056" s="55">
        <f t="shared" si="32"/>
        <v>691</v>
      </c>
    </row>
    <row r="1057" spans="1:10" ht="18.75" x14ac:dyDescent="0.3">
      <c r="A1057" s="8" t="s">
        <v>1023</v>
      </c>
      <c r="B1057" s="9" t="s">
        <v>1024</v>
      </c>
      <c r="C1057" s="9" t="s">
        <v>720</v>
      </c>
      <c r="F1057" s="14"/>
      <c r="G1057" s="5"/>
      <c r="H1057" s="14">
        <v>770.2</v>
      </c>
      <c r="I1057" s="15">
        <f>H1057*(1-'[1]Discounts page'!D$20)</f>
        <v>462.12</v>
      </c>
      <c r="J1057" s="55">
        <f t="shared" si="32"/>
        <v>694</v>
      </c>
    </row>
    <row r="1058" spans="1:10" ht="18.75" x14ac:dyDescent="0.3">
      <c r="A1058" s="8" t="s">
        <v>1025</v>
      </c>
      <c r="B1058" s="9" t="s">
        <v>1026</v>
      </c>
      <c r="C1058" s="9" t="s">
        <v>720</v>
      </c>
      <c r="F1058" s="14"/>
      <c r="G1058" s="5"/>
      <c r="H1058" s="14">
        <v>772.7</v>
      </c>
      <c r="I1058" s="15">
        <f>H1058*(1-'[1]Discounts page'!D$20)</f>
        <v>463.62</v>
      </c>
      <c r="J1058" s="55">
        <f t="shared" si="32"/>
        <v>696</v>
      </c>
    </row>
    <row r="1059" spans="1:10" ht="18.75" x14ac:dyDescent="0.3">
      <c r="A1059" s="8" t="s">
        <v>1027</v>
      </c>
      <c r="B1059" s="9" t="s">
        <v>1028</v>
      </c>
      <c r="C1059" s="9" t="s">
        <v>720</v>
      </c>
      <c r="F1059" s="14"/>
      <c r="G1059" s="5"/>
      <c r="H1059" s="14">
        <v>775.5</v>
      </c>
      <c r="I1059" s="15">
        <f>H1059*(1-'[1]Discounts page'!D$20)</f>
        <v>465.29999999999995</v>
      </c>
      <c r="J1059" s="55">
        <f t="shared" si="32"/>
        <v>698</v>
      </c>
    </row>
    <row r="1060" spans="1:10" ht="18.75" x14ac:dyDescent="0.3">
      <c r="A1060" s="8" t="s">
        <v>1029</v>
      </c>
      <c r="B1060" s="9" t="s">
        <v>1030</v>
      </c>
      <c r="C1060" s="9" t="s">
        <v>720</v>
      </c>
      <c r="F1060" s="14"/>
      <c r="G1060" s="5"/>
      <c r="H1060" s="14">
        <v>777.9</v>
      </c>
      <c r="I1060" s="15">
        <f>H1060*(1-'[1]Discounts page'!D$20)</f>
        <v>466.73999999999995</v>
      </c>
      <c r="J1060" s="55">
        <f t="shared" si="32"/>
        <v>701</v>
      </c>
    </row>
    <row r="1061" spans="1:10" ht="18.75" x14ac:dyDescent="0.3">
      <c r="A1061" s="8" t="s">
        <v>1031</v>
      </c>
      <c r="B1061" s="9" t="s">
        <v>1032</v>
      </c>
      <c r="C1061" s="9" t="s">
        <v>720</v>
      </c>
      <c r="F1061" s="14"/>
      <c r="G1061" s="5"/>
      <c r="H1061" s="14">
        <v>826.80000000000007</v>
      </c>
      <c r="I1061" s="15">
        <f>H1061*(1-'[1]Discounts page'!D$20)</f>
        <v>496.08000000000004</v>
      </c>
      <c r="J1061" s="55">
        <f t="shared" si="32"/>
        <v>745</v>
      </c>
    </row>
    <row r="1062" spans="1:10" ht="18.75" x14ac:dyDescent="0.3">
      <c r="A1062" s="8" t="s">
        <v>1033</v>
      </c>
      <c r="B1062" s="9" t="s">
        <v>1034</v>
      </c>
      <c r="C1062" s="9" t="s">
        <v>720</v>
      </c>
      <c r="F1062" s="14"/>
      <c r="G1062" s="5"/>
      <c r="H1062" s="14">
        <v>829.2</v>
      </c>
      <c r="I1062" s="15">
        <f>H1062*(1-'[1]Discounts page'!D$20)</f>
        <v>497.52</v>
      </c>
      <c r="J1062" s="55">
        <f t="shared" si="32"/>
        <v>747</v>
      </c>
    </row>
    <row r="1063" spans="1:10" ht="18.75" x14ac:dyDescent="0.3">
      <c r="A1063" s="8" t="s">
        <v>1035</v>
      </c>
      <c r="B1063" s="9" t="s">
        <v>1036</v>
      </c>
      <c r="C1063" s="9" t="s">
        <v>720</v>
      </c>
      <c r="F1063" s="14"/>
      <c r="G1063" s="5"/>
      <c r="H1063" s="14">
        <v>832</v>
      </c>
      <c r="I1063" s="15">
        <f>H1063*(1-'[1]Discounts page'!D$20)</f>
        <v>499.2</v>
      </c>
      <c r="J1063" s="55">
        <f t="shared" si="32"/>
        <v>749</v>
      </c>
    </row>
    <row r="1064" spans="1:10" ht="18.75" x14ac:dyDescent="0.3">
      <c r="A1064" s="8" t="s">
        <v>1037</v>
      </c>
      <c r="B1064" s="9" t="s">
        <v>1038</v>
      </c>
      <c r="C1064" s="9" t="s">
        <v>720</v>
      </c>
      <c r="F1064" s="14"/>
      <c r="G1064" s="5"/>
      <c r="H1064" s="14">
        <v>834.5</v>
      </c>
      <c r="I1064" s="15">
        <f>H1064*(1-'[1]Discounts page'!D$20)</f>
        <v>500.7</v>
      </c>
      <c r="J1064" s="55">
        <f t="shared" si="32"/>
        <v>752</v>
      </c>
    </row>
    <row r="1065" spans="1:10" ht="18.75" x14ac:dyDescent="0.3">
      <c r="A1065" s="8" t="s">
        <v>1039</v>
      </c>
      <c r="B1065" s="9" t="s">
        <v>1040</v>
      </c>
      <c r="C1065" s="9" t="s">
        <v>720</v>
      </c>
      <c r="F1065" s="14"/>
      <c r="G1065" s="5"/>
      <c r="H1065" s="14">
        <v>837</v>
      </c>
      <c r="I1065" s="15">
        <f>H1065*(1-'[1]Discounts page'!D$20)</f>
        <v>502.2</v>
      </c>
      <c r="J1065" s="55">
        <f t="shared" si="32"/>
        <v>754</v>
      </c>
    </row>
    <row r="1066" spans="1:10" ht="18.75" x14ac:dyDescent="0.3">
      <c r="A1066" s="8" t="s">
        <v>1041</v>
      </c>
      <c r="B1066" s="9" t="s">
        <v>1042</v>
      </c>
      <c r="C1066" s="9" t="s">
        <v>720</v>
      </c>
      <c r="F1066" s="14"/>
      <c r="G1066" s="5"/>
      <c r="H1066" s="14">
        <v>885.7</v>
      </c>
      <c r="I1066" s="15">
        <f>H1066*(1-'[1]Discounts page'!D$20)</f>
        <v>531.41999999999996</v>
      </c>
      <c r="J1066" s="55">
        <f t="shared" si="32"/>
        <v>798</v>
      </c>
    </row>
    <row r="1067" spans="1:10" ht="18.75" x14ac:dyDescent="0.3">
      <c r="A1067" s="8" t="s">
        <v>1043</v>
      </c>
      <c r="B1067" s="9" t="s">
        <v>1044</v>
      </c>
      <c r="C1067" s="9" t="s">
        <v>720</v>
      </c>
      <c r="F1067" s="14"/>
      <c r="G1067" s="5"/>
      <c r="H1067" s="14">
        <v>888.2</v>
      </c>
      <c r="I1067" s="15">
        <f>H1067*(1-'[1]Discounts page'!D$20)</f>
        <v>532.91999999999996</v>
      </c>
      <c r="J1067" s="55">
        <f t="shared" si="32"/>
        <v>800</v>
      </c>
    </row>
    <row r="1068" spans="1:10" ht="18.75" x14ac:dyDescent="0.3">
      <c r="A1068" s="8" t="s">
        <v>1045</v>
      </c>
      <c r="B1068" s="9" t="s">
        <v>1046</v>
      </c>
      <c r="C1068" s="9" t="s">
        <v>720</v>
      </c>
      <c r="F1068" s="14"/>
      <c r="G1068" s="5"/>
      <c r="H1068" s="14">
        <v>890.80000000000007</v>
      </c>
      <c r="I1068" s="15">
        <f>H1068*(1-'[1]Discounts page'!D$20)</f>
        <v>534.48</v>
      </c>
      <c r="J1068" s="55">
        <f t="shared" si="32"/>
        <v>802</v>
      </c>
    </row>
    <row r="1069" spans="1:10" ht="18.75" x14ac:dyDescent="0.3">
      <c r="A1069" s="8" t="s">
        <v>1047</v>
      </c>
      <c r="B1069" s="9" t="s">
        <v>1048</v>
      </c>
      <c r="C1069" s="9" t="s">
        <v>720</v>
      </c>
      <c r="F1069" s="14"/>
      <c r="G1069" s="5"/>
      <c r="H1069" s="14">
        <v>893.4</v>
      </c>
      <c r="I1069" s="15">
        <f>H1069*(1-'[1]Discounts page'!D$20)</f>
        <v>536.04</v>
      </c>
      <c r="J1069" s="55">
        <f t="shared" si="32"/>
        <v>805</v>
      </c>
    </row>
    <row r="1070" spans="1:10" ht="18.75" x14ac:dyDescent="0.3">
      <c r="A1070" s="8" t="s">
        <v>1049</v>
      </c>
      <c r="B1070" s="9" t="s">
        <v>1050</v>
      </c>
      <c r="C1070" s="9" t="s">
        <v>720</v>
      </c>
      <c r="F1070" s="14"/>
      <c r="G1070" s="5"/>
      <c r="H1070" s="14">
        <v>896.1</v>
      </c>
      <c r="I1070" s="15">
        <f>H1070*(1-'[1]Discounts page'!D$20)</f>
        <v>537.66</v>
      </c>
      <c r="J1070" s="55">
        <f t="shared" si="32"/>
        <v>807</v>
      </c>
    </row>
    <row r="1071" spans="1:10" ht="18.75" x14ac:dyDescent="0.3">
      <c r="A1071" s="16" t="s">
        <v>1051</v>
      </c>
      <c r="B1071" s="9"/>
      <c r="C1071" s="9"/>
      <c r="F1071" s="14"/>
      <c r="G1071" s="5"/>
      <c r="H1071" s="14"/>
      <c r="I1071" s="15"/>
      <c r="J1071" s="55">
        <f t="shared" si="32"/>
        <v>0</v>
      </c>
    </row>
    <row r="1072" spans="1:10" ht="18.75" x14ac:dyDescent="0.3">
      <c r="A1072" s="8" t="s">
        <v>1052</v>
      </c>
      <c r="B1072" s="9" t="s">
        <v>1053</v>
      </c>
      <c r="C1072" s="9" t="s">
        <v>720</v>
      </c>
      <c r="F1072" s="14"/>
      <c r="G1072" s="5"/>
      <c r="H1072" s="14">
        <v>305.90000000000003</v>
      </c>
      <c r="I1072" s="15">
        <f>H1072*(1-'[1]Discounts page'!D$20)</f>
        <v>183.54000000000002</v>
      </c>
      <c r="J1072" s="55">
        <f t="shared" si="32"/>
        <v>276</v>
      </c>
    </row>
    <row r="1073" spans="1:10" ht="18.75" x14ac:dyDescent="0.3">
      <c r="A1073" s="8" t="s">
        <v>1054</v>
      </c>
      <c r="B1073" s="9" t="s">
        <v>1055</v>
      </c>
      <c r="C1073" s="9" t="s">
        <v>720</v>
      </c>
      <c r="F1073" s="14"/>
      <c r="G1073" s="5"/>
      <c r="H1073" s="14">
        <v>307.90000000000003</v>
      </c>
      <c r="I1073" s="15">
        <f>H1073*(1-'[1]Discounts page'!D$20)</f>
        <v>184.74</v>
      </c>
      <c r="J1073" s="55">
        <f t="shared" si="32"/>
        <v>278</v>
      </c>
    </row>
    <row r="1074" spans="1:10" ht="18.75" x14ac:dyDescent="0.3">
      <c r="A1074" s="8" t="s">
        <v>1056</v>
      </c>
      <c r="B1074" s="9" t="s">
        <v>1057</v>
      </c>
      <c r="C1074" s="9" t="s">
        <v>720</v>
      </c>
      <c r="F1074" s="14"/>
      <c r="G1074" s="5"/>
      <c r="H1074" s="14">
        <v>310.10000000000002</v>
      </c>
      <c r="I1074" s="15">
        <f>H1074*(1-'[1]Discounts page'!D$20)</f>
        <v>186.06</v>
      </c>
      <c r="J1074" s="55">
        <f t="shared" si="32"/>
        <v>280</v>
      </c>
    </row>
    <row r="1075" spans="1:10" ht="18.75" x14ac:dyDescent="0.3">
      <c r="A1075" s="8" t="s">
        <v>1058</v>
      </c>
      <c r="B1075" s="9" t="s">
        <v>1059</v>
      </c>
      <c r="C1075" s="9" t="s">
        <v>720</v>
      </c>
      <c r="F1075" s="14"/>
      <c r="G1075" s="5"/>
      <c r="H1075" s="14">
        <v>312.20000000000005</v>
      </c>
      <c r="I1075" s="15">
        <f>H1075*(1-'[1]Discounts page'!D$20)</f>
        <v>187.32000000000002</v>
      </c>
      <c r="J1075" s="55">
        <f t="shared" si="32"/>
        <v>281</v>
      </c>
    </row>
    <row r="1076" spans="1:10" ht="18.75" x14ac:dyDescent="0.3">
      <c r="A1076" s="8" t="s">
        <v>1060</v>
      </c>
      <c r="B1076" s="9" t="s">
        <v>1061</v>
      </c>
      <c r="C1076" s="9" t="s">
        <v>720</v>
      </c>
      <c r="F1076" s="14"/>
      <c r="G1076" s="5"/>
      <c r="H1076" s="14">
        <v>314.20000000000005</v>
      </c>
      <c r="I1076" s="15">
        <f>H1076*(1-'[1]Discounts page'!D$20)</f>
        <v>188.52</v>
      </c>
      <c r="J1076" s="55">
        <f t="shared" si="32"/>
        <v>283</v>
      </c>
    </row>
    <row r="1077" spans="1:10" ht="18.75" x14ac:dyDescent="0.3">
      <c r="A1077" s="8" t="s">
        <v>1062</v>
      </c>
      <c r="B1077" s="9" t="s">
        <v>1063</v>
      </c>
      <c r="C1077" s="9" t="s">
        <v>720</v>
      </c>
      <c r="F1077" s="14"/>
      <c r="G1077" s="5"/>
      <c r="H1077" s="14">
        <v>316.40000000000003</v>
      </c>
      <c r="I1077" s="15">
        <f>H1077*(1-'[1]Discounts page'!D$20)</f>
        <v>189.84</v>
      </c>
      <c r="J1077" s="55">
        <f t="shared" si="32"/>
        <v>285</v>
      </c>
    </row>
    <row r="1078" spans="1:10" ht="18.75" x14ac:dyDescent="0.3">
      <c r="A1078" s="8" t="s">
        <v>1064</v>
      </c>
      <c r="B1078" s="9" t="s">
        <v>1065</v>
      </c>
      <c r="C1078" s="9" t="s">
        <v>720</v>
      </c>
      <c r="F1078" s="14"/>
      <c r="G1078" s="5"/>
      <c r="H1078" s="14">
        <v>318.40000000000003</v>
      </c>
      <c r="I1078" s="15">
        <f>H1078*(1-'[1]Discounts page'!D$20)</f>
        <v>191.04000000000002</v>
      </c>
      <c r="J1078" s="55">
        <f t="shared" si="32"/>
        <v>287</v>
      </c>
    </row>
    <row r="1079" spans="1:10" ht="18.75" x14ac:dyDescent="0.3">
      <c r="A1079" s="8" t="s">
        <v>1066</v>
      </c>
      <c r="B1079" s="9" t="s">
        <v>1067</v>
      </c>
      <c r="C1079" s="9" t="s">
        <v>720</v>
      </c>
      <c r="F1079" s="14"/>
      <c r="G1079" s="5"/>
      <c r="H1079" s="14">
        <v>320.40000000000003</v>
      </c>
      <c r="I1079" s="15">
        <f>H1079*(1-'[1]Discounts page'!D$20)</f>
        <v>192.24</v>
      </c>
      <c r="J1079" s="55">
        <f t="shared" si="32"/>
        <v>289</v>
      </c>
    </row>
    <row r="1080" spans="1:10" ht="18.75" x14ac:dyDescent="0.3">
      <c r="A1080" s="8" t="s">
        <v>1068</v>
      </c>
      <c r="B1080" s="9" t="s">
        <v>1069</v>
      </c>
      <c r="C1080" s="9" t="s">
        <v>720</v>
      </c>
      <c r="F1080" s="14"/>
      <c r="G1080" s="5"/>
      <c r="H1080" s="14">
        <v>342.5</v>
      </c>
      <c r="I1080" s="15">
        <f>H1080*(1-'[1]Discounts page'!D$20)</f>
        <v>205.5</v>
      </c>
      <c r="J1080" s="55">
        <f t="shared" si="32"/>
        <v>309</v>
      </c>
    </row>
    <row r="1081" spans="1:10" ht="18.75" x14ac:dyDescent="0.3">
      <c r="A1081" s="8" t="s">
        <v>1070</v>
      </c>
      <c r="B1081" s="9" t="s">
        <v>1071</v>
      </c>
      <c r="C1081" s="9" t="s">
        <v>720</v>
      </c>
      <c r="F1081" s="14"/>
      <c r="G1081" s="5"/>
      <c r="H1081" s="14">
        <v>344.5</v>
      </c>
      <c r="I1081" s="15">
        <f>H1081*(1-'[1]Discounts page'!D$20)</f>
        <v>206.7</v>
      </c>
      <c r="J1081" s="55">
        <f t="shared" ref="J1081:J1144" si="33">ROUNDUP(I1081*1.5,0)</f>
        <v>311</v>
      </c>
    </row>
    <row r="1082" spans="1:10" ht="18.75" x14ac:dyDescent="0.3">
      <c r="A1082" s="8" t="s">
        <v>1072</v>
      </c>
      <c r="B1082" s="9" t="s">
        <v>1073</v>
      </c>
      <c r="C1082" s="9" t="s">
        <v>720</v>
      </c>
      <c r="F1082" s="14"/>
      <c r="G1082" s="5"/>
      <c r="H1082" s="14">
        <v>346.70000000000005</v>
      </c>
      <c r="I1082" s="15">
        <f>H1082*(1-'[1]Discounts page'!D$20)</f>
        <v>208.02</v>
      </c>
      <c r="J1082" s="55">
        <f t="shared" si="33"/>
        <v>313</v>
      </c>
    </row>
    <row r="1083" spans="1:10" ht="18.75" x14ac:dyDescent="0.3">
      <c r="A1083" s="8" t="s">
        <v>1074</v>
      </c>
      <c r="B1083" s="9" t="s">
        <v>1075</v>
      </c>
      <c r="C1083" s="9" t="s">
        <v>720</v>
      </c>
      <c r="F1083" s="14"/>
      <c r="G1083" s="5"/>
      <c r="H1083" s="14">
        <v>367.70000000000005</v>
      </c>
      <c r="I1083" s="15">
        <f>H1083*(1-'[1]Discounts page'!D$20)</f>
        <v>220.62000000000003</v>
      </c>
      <c r="J1083" s="55">
        <f t="shared" si="33"/>
        <v>331</v>
      </c>
    </row>
    <row r="1084" spans="1:10" ht="18.75" x14ac:dyDescent="0.3">
      <c r="A1084" s="8" t="s">
        <v>1076</v>
      </c>
      <c r="B1084" s="9" t="s">
        <v>1077</v>
      </c>
      <c r="C1084" s="9" t="s">
        <v>720</v>
      </c>
      <c r="F1084" s="14"/>
      <c r="G1084" s="5"/>
      <c r="H1084" s="14">
        <v>369.70000000000005</v>
      </c>
      <c r="I1084" s="15">
        <f>H1084*(1-'[1]Discounts page'!D$20)</f>
        <v>221.82000000000002</v>
      </c>
      <c r="J1084" s="55">
        <f t="shared" si="33"/>
        <v>333</v>
      </c>
    </row>
    <row r="1085" spans="1:10" ht="18.75" x14ac:dyDescent="0.3">
      <c r="A1085" s="8" t="s">
        <v>1078</v>
      </c>
      <c r="B1085" s="9" t="s">
        <v>1079</v>
      </c>
      <c r="C1085" s="9" t="s">
        <v>720</v>
      </c>
      <c r="F1085" s="14"/>
      <c r="G1085" s="5"/>
      <c r="H1085" s="14">
        <v>371.8</v>
      </c>
      <c r="I1085" s="15">
        <f>H1085*(1-'[1]Discounts page'!D$20)</f>
        <v>223.08</v>
      </c>
      <c r="J1085" s="55">
        <f t="shared" si="33"/>
        <v>335</v>
      </c>
    </row>
    <row r="1086" spans="1:10" ht="18.75" x14ac:dyDescent="0.3">
      <c r="A1086" s="8" t="s">
        <v>1080</v>
      </c>
      <c r="B1086" s="9" t="s">
        <v>1081</v>
      </c>
      <c r="C1086" s="9" t="s">
        <v>720</v>
      </c>
      <c r="F1086" s="14"/>
      <c r="G1086" s="5"/>
      <c r="H1086" s="14">
        <v>373.8</v>
      </c>
      <c r="I1086" s="15">
        <f>H1086*(1-'[1]Discounts page'!D$20)</f>
        <v>224.28</v>
      </c>
      <c r="J1086" s="55">
        <f t="shared" si="33"/>
        <v>337</v>
      </c>
    </row>
    <row r="1087" spans="1:10" ht="18.75" x14ac:dyDescent="0.3">
      <c r="A1087" s="8" t="s">
        <v>1082</v>
      </c>
      <c r="B1087" s="9" t="s">
        <v>1083</v>
      </c>
      <c r="C1087" s="9" t="s">
        <v>720</v>
      </c>
      <c r="F1087" s="14"/>
      <c r="G1087" s="5"/>
      <c r="H1087" s="14">
        <v>428</v>
      </c>
      <c r="I1087" s="15">
        <f>H1087*(1-'[1]Discounts page'!D$20)</f>
        <v>256.8</v>
      </c>
      <c r="J1087" s="55">
        <f t="shared" si="33"/>
        <v>386</v>
      </c>
    </row>
    <row r="1088" spans="1:10" ht="18.75" x14ac:dyDescent="0.3">
      <c r="A1088" s="8" t="s">
        <v>1084</v>
      </c>
      <c r="B1088" s="9" t="s">
        <v>1085</v>
      </c>
      <c r="C1088" s="9" t="s">
        <v>720</v>
      </c>
      <c r="F1088" s="14"/>
      <c r="G1088" s="5"/>
      <c r="H1088" s="14">
        <v>430.1</v>
      </c>
      <c r="I1088" s="15">
        <f>H1088*(1-'[1]Discounts page'!D$20)</f>
        <v>258.06</v>
      </c>
      <c r="J1088" s="55">
        <f t="shared" si="33"/>
        <v>388</v>
      </c>
    </row>
    <row r="1089" spans="1:10" ht="18.75" x14ac:dyDescent="0.3">
      <c r="A1089" s="8" t="s">
        <v>1086</v>
      </c>
      <c r="B1089" s="9" t="s">
        <v>1087</v>
      </c>
      <c r="C1089" s="9" t="s">
        <v>720</v>
      </c>
      <c r="F1089" s="14"/>
      <c r="G1089" s="5"/>
      <c r="H1089" s="14">
        <v>432.1</v>
      </c>
      <c r="I1089" s="15">
        <f>H1089*(1-'[1]Discounts page'!D$20)</f>
        <v>259.26</v>
      </c>
      <c r="J1089" s="55">
        <f t="shared" si="33"/>
        <v>389</v>
      </c>
    </row>
    <row r="1090" spans="1:10" ht="18.75" x14ac:dyDescent="0.3">
      <c r="A1090" s="8" t="s">
        <v>1088</v>
      </c>
      <c r="B1090" s="9" t="s">
        <v>1089</v>
      </c>
      <c r="C1090" s="9" t="s">
        <v>720</v>
      </c>
      <c r="F1090" s="14"/>
      <c r="G1090" s="5"/>
      <c r="H1090" s="14">
        <v>434.3</v>
      </c>
      <c r="I1090" s="15">
        <f>H1090*(1-'[1]Discounts page'!D$20)</f>
        <v>260.58</v>
      </c>
      <c r="J1090" s="55">
        <f t="shared" si="33"/>
        <v>391</v>
      </c>
    </row>
    <row r="1091" spans="1:10" ht="18.75" x14ac:dyDescent="0.3">
      <c r="A1091" s="8" t="s">
        <v>1090</v>
      </c>
      <c r="B1091" s="9" t="s">
        <v>1091</v>
      </c>
      <c r="C1091" s="9" t="s">
        <v>720</v>
      </c>
      <c r="F1091" s="14"/>
      <c r="G1091" s="5"/>
      <c r="H1091" s="14">
        <v>436.40000000000003</v>
      </c>
      <c r="I1091" s="15">
        <f>H1091*(1-'[1]Discounts page'!D$20)</f>
        <v>261.84000000000003</v>
      </c>
      <c r="J1091" s="55">
        <f t="shared" si="33"/>
        <v>393</v>
      </c>
    </row>
    <row r="1092" spans="1:10" ht="18.75" x14ac:dyDescent="0.3">
      <c r="A1092" s="8" t="s">
        <v>1092</v>
      </c>
      <c r="B1092" s="9" t="s">
        <v>1093</v>
      </c>
      <c r="C1092" s="9" t="s">
        <v>720</v>
      </c>
      <c r="F1092" s="14"/>
      <c r="G1092" s="5"/>
      <c r="H1092" s="14">
        <v>438.3</v>
      </c>
      <c r="I1092" s="15">
        <f>H1092*(1-'[1]Discounts page'!D$20)</f>
        <v>262.98</v>
      </c>
      <c r="J1092" s="55">
        <f t="shared" si="33"/>
        <v>395</v>
      </c>
    </row>
    <row r="1093" spans="1:10" ht="18.75" x14ac:dyDescent="0.3">
      <c r="A1093" s="8" t="s">
        <v>1094</v>
      </c>
      <c r="B1093" s="9" t="s">
        <v>1095</v>
      </c>
      <c r="C1093" s="9" t="s">
        <v>720</v>
      </c>
      <c r="F1093" s="14"/>
      <c r="G1093" s="5"/>
      <c r="H1093" s="14">
        <v>440.5</v>
      </c>
      <c r="I1093" s="15">
        <f>H1093*(1-'[1]Discounts page'!D$20)</f>
        <v>264.3</v>
      </c>
      <c r="J1093" s="55">
        <f t="shared" si="33"/>
        <v>397</v>
      </c>
    </row>
    <row r="1094" spans="1:10" ht="18.75" x14ac:dyDescent="0.3">
      <c r="A1094" s="8" t="s">
        <v>1096</v>
      </c>
      <c r="B1094" s="9" t="s">
        <v>1097</v>
      </c>
      <c r="C1094" s="9" t="s">
        <v>720</v>
      </c>
      <c r="F1094" s="14"/>
      <c r="G1094" s="5"/>
      <c r="H1094" s="14">
        <v>442.6</v>
      </c>
      <c r="I1094" s="15">
        <f>H1094*(1-'[1]Discounts page'!D$20)</f>
        <v>265.56</v>
      </c>
      <c r="J1094" s="55">
        <f t="shared" si="33"/>
        <v>399</v>
      </c>
    </row>
    <row r="1095" spans="1:10" ht="18.75" x14ac:dyDescent="0.3">
      <c r="A1095" s="8" t="s">
        <v>1098</v>
      </c>
      <c r="B1095" s="9" t="s">
        <v>1099</v>
      </c>
      <c r="C1095" s="9" t="s">
        <v>720</v>
      </c>
      <c r="F1095" s="14"/>
      <c r="G1095" s="5"/>
      <c r="H1095" s="14">
        <v>489.1</v>
      </c>
      <c r="I1095" s="15">
        <f>H1095*(1-'[1]Discounts page'!D$20)</f>
        <v>293.45999999999998</v>
      </c>
      <c r="J1095" s="55">
        <f t="shared" si="33"/>
        <v>441</v>
      </c>
    </row>
    <row r="1096" spans="1:10" ht="18.75" x14ac:dyDescent="0.3">
      <c r="A1096" s="8" t="s">
        <v>1100</v>
      </c>
      <c r="B1096" s="9" t="s">
        <v>1101</v>
      </c>
      <c r="C1096" s="9" t="s">
        <v>720</v>
      </c>
      <c r="F1096" s="14"/>
      <c r="G1096" s="5"/>
      <c r="H1096" s="14">
        <v>491.20000000000005</v>
      </c>
      <c r="I1096" s="15">
        <f>H1096*(1-'[1]Discounts page'!D$20)</f>
        <v>294.72000000000003</v>
      </c>
      <c r="J1096" s="55">
        <f t="shared" si="33"/>
        <v>443</v>
      </c>
    </row>
    <row r="1097" spans="1:10" ht="18.75" x14ac:dyDescent="0.3">
      <c r="A1097" s="8" t="s">
        <v>1102</v>
      </c>
      <c r="B1097" s="9" t="s">
        <v>1103</v>
      </c>
      <c r="C1097" s="9" t="s">
        <v>720</v>
      </c>
      <c r="F1097" s="14"/>
      <c r="G1097" s="5"/>
      <c r="H1097" s="14">
        <v>493.3</v>
      </c>
      <c r="I1097" s="15">
        <f>H1097*(1-'[1]Discounts page'!D$20)</f>
        <v>295.98</v>
      </c>
      <c r="J1097" s="55">
        <f t="shared" si="33"/>
        <v>444</v>
      </c>
    </row>
    <row r="1098" spans="1:10" ht="18.75" x14ac:dyDescent="0.3">
      <c r="A1098" s="8" t="s">
        <v>1104</v>
      </c>
      <c r="B1098" s="9" t="s">
        <v>1105</v>
      </c>
      <c r="C1098" s="9" t="s">
        <v>720</v>
      </c>
      <c r="F1098" s="14"/>
      <c r="G1098" s="5"/>
      <c r="H1098" s="14">
        <v>495.3</v>
      </c>
      <c r="I1098" s="15">
        <f>H1098*(1-'[1]Discounts page'!D$20)</f>
        <v>297.18</v>
      </c>
      <c r="J1098" s="55">
        <f t="shared" si="33"/>
        <v>446</v>
      </c>
    </row>
    <row r="1099" spans="1:10" ht="18.75" x14ac:dyDescent="0.3">
      <c r="A1099" s="8" t="s">
        <v>1106</v>
      </c>
      <c r="B1099" s="9" t="s">
        <v>1107</v>
      </c>
      <c r="C1099" s="9" t="s">
        <v>720</v>
      </c>
      <c r="F1099" s="14"/>
      <c r="G1099" s="5"/>
      <c r="H1099" s="14">
        <v>497.40000000000003</v>
      </c>
      <c r="I1099" s="15">
        <f>H1099*(1-'[1]Discounts page'!D$20)</f>
        <v>298.44</v>
      </c>
      <c r="J1099" s="55">
        <f t="shared" si="33"/>
        <v>448</v>
      </c>
    </row>
    <row r="1100" spans="1:10" ht="18.75" x14ac:dyDescent="0.3">
      <c r="A1100" s="8" t="s">
        <v>1108</v>
      </c>
      <c r="B1100" s="9" t="s">
        <v>1109</v>
      </c>
      <c r="C1100" s="9" t="s">
        <v>720</v>
      </c>
      <c r="F1100" s="14"/>
      <c r="G1100" s="5"/>
      <c r="H1100" s="14">
        <v>550.30000000000007</v>
      </c>
      <c r="I1100" s="15">
        <f>H1100*(1-'[1]Discounts page'!D$20)</f>
        <v>330.18</v>
      </c>
      <c r="J1100" s="55">
        <f t="shared" si="33"/>
        <v>496</v>
      </c>
    </row>
    <row r="1101" spans="1:10" ht="18.75" x14ac:dyDescent="0.3">
      <c r="A1101" s="8" t="s">
        <v>1110</v>
      </c>
      <c r="B1101" s="9" t="s">
        <v>1111</v>
      </c>
      <c r="C1101" s="9" t="s">
        <v>720</v>
      </c>
      <c r="F1101" s="14"/>
      <c r="G1101" s="5"/>
      <c r="H1101" s="14">
        <v>552.30000000000007</v>
      </c>
      <c r="I1101" s="15">
        <f>H1101*(1-'[1]Discounts page'!D$20)</f>
        <v>331.38000000000005</v>
      </c>
      <c r="J1101" s="55">
        <f t="shared" si="33"/>
        <v>498</v>
      </c>
    </row>
    <row r="1102" spans="1:10" ht="18.75" x14ac:dyDescent="0.3">
      <c r="A1102" s="8" t="s">
        <v>1112</v>
      </c>
      <c r="B1102" s="9" t="s">
        <v>1113</v>
      </c>
      <c r="C1102" s="9" t="s">
        <v>720</v>
      </c>
      <c r="F1102" s="14"/>
      <c r="G1102" s="5"/>
      <c r="H1102" s="14">
        <v>554.30000000000007</v>
      </c>
      <c r="I1102" s="15">
        <f>H1102*(1-'[1]Discounts page'!D$20)</f>
        <v>332.58000000000004</v>
      </c>
      <c r="J1102" s="55">
        <f t="shared" si="33"/>
        <v>499</v>
      </c>
    </row>
    <row r="1103" spans="1:10" ht="18.75" x14ac:dyDescent="0.3">
      <c r="A1103" s="8" t="s">
        <v>1114</v>
      </c>
      <c r="B1103" s="9" t="s">
        <v>1115</v>
      </c>
      <c r="C1103" s="9" t="s">
        <v>720</v>
      </c>
      <c r="F1103" s="14"/>
      <c r="G1103" s="5"/>
      <c r="H1103" s="14">
        <v>556.5</v>
      </c>
      <c r="I1103" s="15">
        <f>H1103*(1-'[1]Discounts page'!D$20)</f>
        <v>333.9</v>
      </c>
      <c r="J1103" s="55">
        <f t="shared" si="33"/>
        <v>501</v>
      </c>
    </row>
    <row r="1104" spans="1:10" ht="18.75" x14ac:dyDescent="0.3">
      <c r="A1104" s="8" t="s">
        <v>1116</v>
      </c>
      <c r="B1104" s="9" t="s">
        <v>1117</v>
      </c>
      <c r="C1104" s="9" t="s">
        <v>720</v>
      </c>
      <c r="F1104" s="14"/>
      <c r="G1104" s="5"/>
      <c r="H1104" s="14">
        <v>558.5</v>
      </c>
      <c r="I1104" s="15">
        <f>H1104*(1-'[1]Discounts page'!D$20)</f>
        <v>335.09999999999997</v>
      </c>
      <c r="J1104" s="55">
        <f t="shared" si="33"/>
        <v>503</v>
      </c>
    </row>
    <row r="1105" spans="1:10" ht="18.75" x14ac:dyDescent="0.3">
      <c r="A1105" s="8" t="s">
        <v>1118</v>
      </c>
      <c r="B1105" s="9" t="s">
        <v>1119</v>
      </c>
      <c r="C1105" s="9" t="s">
        <v>720</v>
      </c>
      <c r="F1105" s="14"/>
      <c r="G1105" s="5"/>
      <c r="H1105" s="14">
        <v>679.30000000000007</v>
      </c>
      <c r="I1105" s="15">
        <f>H1105*(1-'[1]Discounts page'!D$20)</f>
        <v>407.58000000000004</v>
      </c>
      <c r="J1105" s="55">
        <f t="shared" si="33"/>
        <v>612</v>
      </c>
    </row>
    <row r="1106" spans="1:10" ht="18.75" x14ac:dyDescent="0.3">
      <c r="A1106" s="8" t="s">
        <v>1120</v>
      </c>
      <c r="B1106" s="9" t="s">
        <v>1121</v>
      </c>
      <c r="C1106" s="9" t="s">
        <v>720</v>
      </c>
      <c r="F1106" s="14"/>
      <c r="G1106" s="5"/>
      <c r="H1106" s="14">
        <v>681.30000000000007</v>
      </c>
      <c r="I1106" s="15">
        <f>H1106*(1-'[1]Discounts page'!D$20)</f>
        <v>408.78000000000003</v>
      </c>
      <c r="J1106" s="55">
        <f t="shared" si="33"/>
        <v>614</v>
      </c>
    </row>
    <row r="1107" spans="1:10" ht="18.75" x14ac:dyDescent="0.3">
      <c r="A1107" s="8" t="s">
        <v>1122</v>
      </c>
      <c r="B1107" s="9" t="s">
        <v>1123</v>
      </c>
      <c r="C1107" s="9" t="s">
        <v>720</v>
      </c>
      <c r="F1107" s="14"/>
      <c r="G1107" s="5"/>
      <c r="H1107" s="14">
        <v>683.4</v>
      </c>
      <c r="I1107" s="15">
        <f>H1107*(1-'[1]Discounts page'!D$20)</f>
        <v>410.03999999999996</v>
      </c>
      <c r="J1107" s="55">
        <f t="shared" si="33"/>
        <v>616</v>
      </c>
    </row>
    <row r="1108" spans="1:10" ht="18.75" x14ac:dyDescent="0.3">
      <c r="A1108" s="8" t="s">
        <v>1124</v>
      </c>
      <c r="B1108" s="9" t="s">
        <v>1125</v>
      </c>
      <c r="C1108" s="9" t="s">
        <v>720</v>
      </c>
      <c r="F1108" s="14"/>
      <c r="G1108" s="5"/>
      <c r="H1108" s="14">
        <v>685.4</v>
      </c>
      <c r="I1108" s="15">
        <f>H1108*(1-'[1]Discounts page'!D$20)</f>
        <v>411.23999999999995</v>
      </c>
      <c r="J1108" s="55">
        <f t="shared" si="33"/>
        <v>617</v>
      </c>
    </row>
    <row r="1109" spans="1:10" ht="18.75" x14ac:dyDescent="0.3">
      <c r="A1109" s="8" t="s">
        <v>1126</v>
      </c>
      <c r="B1109" s="9" t="s">
        <v>1127</v>
      </c>
      <c r="C1109" s="9" t="s">
        <v>720</v>
      </c>
      <c r="F1109" s="14"/>
      <c r="G1109" s="5"/>
      <c r="H1109" s="14">
        <v>687.6</v>
      </c>
      <c r="I1109" s="15">
        <f>H1109*(1-'[1]Discounts page'!D$20)</f>
        <v>412.56</v>
      </c>
      <c r="J1109" s="55">
        <f t="shared" si="33"/>
        <v>619</v>
      </c>
    </row>
    <row r="1110" spans="1:10" ht="18.75" x14ac:dyDescent="0.3">
      <c r="A1110" s="8" t="s">
        <v>1128</v>
      </c>
      <c r="B1110" s="9" t="s">
        <v>1129</v>
      </c>
      <c r="C1110" s="9" t="s">
        <v>720</v>
      </c>
      <c r="F1110" s="14"/>
      <c r="G1110" s="5"/>
      <c r="H1110" s="14">
        <v>747</v>
      </c>
      <c r="I1110" s="15">
        <f>H1110*(1-'[1]Discounts page'!D$20)</f>
        <v>448.2</v>
      </c>
      <c r="J1110" s="55">
        <f t="shared" si="33"/>
        <v>673</v>
      </c>
    </row>
    <row r="1111" spans="1:10" ht="18.75" x14ac:dyDescent="0.3">
      <c r="A1111" s="8" t="s">
        <v>1130</v>
      </c>
      <c r="B1111" s="9" t="s">
        <v>1131</v>
      </c>
      <c r="C1111" s="9" t="s">
        <v>720</v>
      </c>
      <c r="F1111" s="14"/>
      <c r="G1111" s="5"/>
      <c r="H1111" s="14">
        <v>749.2</v>
      </c>
      <c r="I1111" s="15">
        <f>H1111*(1-'[1]Discounts page'!D$20)</f>
        <v>449.52000000000004</v>
      </c>
      <c r="J1111" s="55">
        <f t="shared" si="33"/>
        <v>675</v>
      </c>
    </row>
    <row r="1112" spans="1:10" ht="18.75" x14ac:dyDescent="0.3">
      <c r="A1112" s="8" t="s">
        <v>1132</v>
      </c>
      <c r="B1112" s="9" t="s">
        <v>1133</v>
      </c>
      <c r="C1112" s="9" t="s">
        <v>720</v>
      </c>
      <c r="F1112" s="14"/>
      <c r="G1112" s="5"/>
      <c r="H1112" s="14">
        <v>751.2</v>
      </c>
      <c r="I1112" s="15">
        <f>H1112*(1-'[1]Discounts page'!D$20)</f>
        <v>450.72</v>
      </c>
      <c r="J1112" s="55">
        <f t="shared" si="33"/>
        <v>677</v>
      </c>
    </row>
    <row r="1113" spans="1:10" ht="18.75" x14ac:dyDescent="0.3">
      <c r="A1113" s="8" t="s">
        <v>1134</v>
      </c>
      <c r="B1113" s="9" t="s">
        <v>1135</v>
      </c>
      <c r="C1113" s="9" t="s">
        <v>720</v>
      </c>
      <c r="F1113" s="14"/>
      <c r="G1113" s="5"/>
      <c r="H1113" s="14">
        <v>753.30000000000007</v>
      </c>
      <c r="I1113" s="15">
        <f>H1113*(1-'[1]Discounts page'!D$20)</f>
        <v>451.98</v>
      </c>
      <c r="J1113" s="55">
        <f t="shared" si="33"/>
        <v>678</v>
      </c>
    </row>
    <row r="1114" spans="1:10" ht="18.75" x14ac:dyDescent="0.3">
      <c r="A1114" s="8" t="s">
        <v>1136</v>
      </c>
      <c r="B1114" s="9" t="s">
        <v>1137</v>
      </c>
      <c r="C1114" s="9" t="s">
        <v>720</v>
      </c>
      <c r="F1114" s="14"/>
      <c r="G1114" s="5"/>
      <c r="H1114" s="14">
        <v>755.30000000000007</v>
      </c>
      <c r="I1114" s="15">
        <f>H1114*(1-'[1]Discounts page'!D$20)</f>
        <v>453.18</v>
      </c>
      <c r="J1114" s="55">
        <f t="shared" si="33"/>
        <v>680</v>
      </c>
    </row>
    <row r="1115" spans="1:10" ht="18.75" x14ac:dyDescent="0.3">
      <c r="A1115" s="8" t="s">
        <v>1138</v>
      </c>
      <c r="B1115" s="9" t="s">
        <v>1139</v>
      </c>
      <c r="C1115" s="9" t="s">
        <v>720</v>
      </c>
      <c r="F1115" s="14"/>
      <c r="G1115" s="5"/>
      <c r="H1115" s="14">
        <v>815</v>
      </c>
      <c r="I1115" s="15">
        <f>H1115*(1-'[1]Discounts page'!D$20)</f>
        <v>489</v>
      </c>
      <c r="J1115" s="55">
        <f t="shared" si="33"/>
        <v>734</v>
      </c>
    </row>
    <row r="1116" spans="1:10" ht="18.75" x14ac:dyDescent="0.3">
      <c r="A1116" s="8" t="s">
        <v>1140</v>
      </c>
      <c r="B1116" s="9" t="s">
        <v>1141</v>
      </c>
      <c r="C1116" s="9" t="s">
        <v>720</v>
      </c>
      <c r="F1116" s="14"/>
      <c r="G1116" s="5"/>
      <c r="H1116" s="14">
        <v>816.9</v>
      </c>
      <c r="I1116" s="15">
        <f>H1116*(1-'[1]Discounts page'!D$20)</f>
        <v>490.14</v>
      </c>
      <c r="J1116" s="55">
        <f t="shared" si="33"/>
        <v>736</v>
      </c>
    </row>
    <row r="1117" spans="1:10" ht="18.75" x14ac:dyDescent="0.3">
      <c r="A1117" s="8" t="s">
        <v>1142</v>
      </c>
      <c r="B1117" s="9" t="s">
        <v>1143</v>
      </c>
      <c r="C1117" s="9" t="s">
        <v>720</v>
      </c>
      <c r="F1117" s="14"/>
      <c r="G1117" s="5"/>
      <c r="H1117" s="14">
        <v>819.1</v>
      </c>
      <c r="I1117" s="15">
        <f>H1117*(1-'[1]Discounts page'!D$20)</f>
        <v>491.46</v>
      </c>
      <c r="J1117" s="55">
        <f t="shared" si="33"/>
        <v>738</v>
      </c>
    </row>
    <row r="1118" spans="1:10" ht="18.75" x14ac:dyDescent="0.3">
      <c r="A1118" s="8" t="s">
        <v>1144</v>
      </c>
      <c r="B1118" s="9" t="s">
        <v>1145</v>
      </c>
      <c r="C1118" s="9" t="s">
        <v>720</v>
      </c>
      <c r="F1118" s="14"/>
      <c r="G1118" s="5"/>
      <c r="H1118" s="14">
        <v>821</v>
      </c>
      <c r="I1118" s="15">
        <f>H1118*(1-'[1]Discounts page'!D$20)</f>
        <v>492.59999999999997</v>
      </c>
      <c r="J1118" s="55">
        <f t="shared" si="33"/>
        <v>739</v>
      </c>
    </row>
    <row r="1119" spans="1:10" ht="18.75" x14ac:dyDescent="0.3">
      <c r="A1119" s="8" t="s">
        <v>1146</v>
      </c>
      <c r="B1119" s="9" t="s">
        <v>1147</v>
      </c>
      <c r="C1119" s="9" t="s">
        <v>720</v>
      </c>
      <c r="F1119" s="14"/>
      <c r="G1119" s="5"/>
      <c r="H1119" s="14">
        <v>823.1</v>
      </c>
      <c r="I1119" s="15">
        <f>H1119*(1-'[1]Discounts page'!D$20)</f>
        <v>493.86</v>
      </c>
      <c r="J1119" s="55">
        <f t="shared" si="33"/>
        <v>741</v>
      </c>
    </row>
    <row r="1120" spans="1:10" ht="18.75" x14ac:dyDescent="0.3">
      <c r="A1120" s="8" t="s">
        <v>1148</v>
      </c>
      <c r="B1120" s="9" t="s">
        <v>1149</v>
      </c>
      <c r="C1120" s="9" t="s">
        <v>720</v>
      </c>
      <c r="F1120" s="14"/>
      <c r="G1120" s="5"/>
      <c r="H1120" s="14">
        <v>882.80000000000007</v>
      </c>
      <c r="I1120" s="15">
        <f>H1120*(1-'[1]Discounts page'!D$20)</f>
        <v>529.68000000000006</v>
      </c>
      <c r="J1120" s="55">
        <f t="shared" si="33"/>
        <v>795</v>
      </c>
    </row>
    <row r="1121" spans="1:10" ht="18.75" x14ac:dyDescent="0.3">
      <c r="A1121" s="8" t="s">
        <v>1150</v>
      </c>
      <c r="B1121" s="9" t="s">
        <v>1151</v>
      </c>
      <c r="C1121" s="9" t="s">
        <v>720</v>
      </c>
      <c r="F1121" s="14"/>
      <c r="G1121" s="5"/>
      <c r="H1121" s="14">
        <v>884.9</v>
      </c>
      <c r="I1121" s="15">
        <f>H1121*(1-'[1]Discounts page'!D$20)</f>
        <v>530.93999999999994</v>
      </c>
      <c r="J1121" s="55">
        <f t="shared" si="33"/>
        <v>797</v>
      </c>
    </row>
    <row r="1122" spans="1:10" ht="18.75" x14ac:dyDescent="0.3">
      <c r="A1122" s="8" t="s">
        <v>1152</v>
      </c>
      <c r="B1122" s="9" t="s">
        <v>1153</v>
      </c>
      <c r="C1122" s="9" t="s">
        <v>720</v>
      </c>
      <c r="F1122" s="14"/>
      <c r="G1122" s="5"/>
      <c r="H1122" s="14">
        <v>886.9</v>
      </c>
      <c r="I1122" s="15">
        <f>H1122*(1-'[1]Discounts page'!D$20)</f>
        <v>532.14</v>
      </c>
      <c r="J1122" s="55">
        <f t="shared" si="33"/>
        <v>799</v>
      </c>
    </row>
    <row r="1123" spans="1:10" ht="18.75" x14ac:dyDescent="0.3">
      <c r="A1123" s="8" t="s">
        <v>1154</v>
      </c>
      <c r="B1123" s="9" t="s">
        <v>1155</v>
      </c>
      <c r="C1123" s="9" t="s">
        <v>720</v>
      </c>
      <c r="F1123" s="14"/>
      <c r="G1123" s="5"/>
      <c r="H1123" s="14">
        <v>889.2</v>
      </c>
      <c r="I1123" s="15">
        <f>H1123*(1-'[1]Discounts page'!D$20)</f>
        <v>533.52</v>
      </c>
      <c r="J1123" s="55">
        <f t="shared" si="33"/>
        <v>801</v>
      </c>
    </row>
    <row r="1124" spans="1:10" ht="18.75" x14ac:dyDescent="0.3">
      <c r="A1124" s="8" t="s">
        <v>1156</v>
      </c>
      <c r="B1124" s="9" t="s">
        <v>1157</v>
      </c>
      <c r="C1124" s="9" t="s">
        <v>720</v>
      </c>
      <c r="F1124" s="14"/>
      <c r="G1124" s="5"/>
      <c r="H1124" s="14">
        <v>891.30000000000007</v>
      </c>
      <c r="I1124" s="15">
        <f>H1124*(1-'[1]Discounts page'!D$20)</f>
        <v>534.78</v>
      </c>
      <c r="J1124" s="55">
        <f t="shared" si="33"/>
        <v>803</v>
      </c>
    </row>
    <row r="1125" spans="1:10" ht="18.75" x14ac:dyDescent="0.3">
      <c r="A1125" s="8" t="s">
        <v>1158</v>
      </c>
      <c r="B1125" s="9" t="s">
        <v>1159</v>
      </c>
      <c r="C1125" s="9" t="s">
        <v>720</v>
      </c>
      <c r="F1125" s="14"/>
      <c r="G1125" s="5"/>
      <c r="H1125" s="14">
        <v>950.7</v>
      </c>
      <c r="I1125" s="15">
        <f>H1125*(1-'[1]Discounts page'!D$20)</f>
        <v>570.41999999999996</v>
      </c>
      <c r="J1125" s="55">
        <f t="shared" si="33"/>
        <v>856</v>
      </c>
    </row>
    <row r="1126" spans="1:10" ht="18.75" x14ac:dyDescent="0.3">
      <c r="A1126" s="8" t="s">
        <v>1160</v>
      </c>
      <c r="B1126" s="9" t="s">
        <v>1161</v>
      </c>
      <c r="C1126" s="9" t="s">
        <v>720</v>
      </c>
      <c r="F1126" s="14"/>
      <c r="G1126" s="5"/>
      <c r="H1126" s="14">
        <v>952.80000000000007</v>
      </c>
      <c r="I1126" s="15">
        <f>H1126*(1-'[1]Discounts page'!D$20)</f>
        <v>571.68000000000006</v>
      </c>
      <c r="J1126" s="55">
        <f t="shared" si="33"/>
        <v>858</v>
      </c>
    </row>
    <row r="1127" spans="1:10" ht="18.75" x14ac:dyDescent="0.3">
      <c r="A1127" s="8" t="s">
        <v>1162</v>
      </c>
      <c r="B1127" s="9" t="s">
        <v>1163</v>
      </c>
      <c r="C1127" s="9" t="s">
        <v>720</v>
      </c>
      <c r="F1127" s="14"/>
      <c r="G1127" s="5"/>
      <c r="H1127" s="14">
        <v>954.9</v>
      </c>
      <c r="I1127" s="15">
        <f>H1127*(1-'[1]Discounts page'!D$20)</f>
        <v>572.93999999999994</v>
      </c>
      <c r="J1127" s="55">
        <f t="shared" si="33"/>
        <v>860</v>
      </c>
    </row>
    <row r="1128" spans="1:10" ht="18.75" x14ac:dyDescent="0.3">
      <c r="A1128" s="8" t="s">
        <v>1164</v>
      </c>
      <c r="B1128" s="9" t="s">
        <v>1165</v>
      </c>
      <c r="C1128" s="9" t="s">
        <v>720</v>
      </c>
      <c r="F1128" s="14"/>
      <c r="G1128" s="5"/>
      <c r="H1128" s="14">
        <v>957</v>
      </c>
      <c r="I1128" s="15">
        <f>H1128*(1-'[1]Discounts page'!D$20)</f>
        <v>574.19999999999993</v>
      </c>
      <c r="J1128" s="55">
        <f t="shared" si="33"/>
        <v>862</v>
      </c>
    </row>
    <row r="1129" spans="1:10" ht="18.75" x14ac:dyDescent="0.3">
      <c r="A1129" s="8" t="s">
        <v>1166</v>
      </c>
      <c r="B1129" s="9" t="s">
        <v>1167</v>
      </c>
      <c r="C1129" s="9" t="s">
        <v>720</v>
      </c>
      <c r="F1129" s="14"/>
      <c r="G1129" s="5"/>
      <c r="H1129" s="14">
        <v>959</v>
      </c>
      <c r="I1129" s="15">
        <f>H1129*(1-'[1]Discounts page'!D$20)</f>
        <v>575.4</v>
      </c>
      <c r="J1129" s="55">
        <f t="shared" si="33"/>
        <v>864</v>
      </c>
    </row>
    <row r="1130" spans="1:10" ht="18.75" x14ac:dyDescent="0.3">
      <c r="A1130" s="8" t="s">
        <v>1168</v>
      </c>
      <c r="B1130" s="9" t="s">
        <v>1169</v>
      </c>
      <c r="C1130" s="9" t="s">
        <v>720</v>
      </c>
      <c r="F1130" s="14"/>
      <c r="G1130" s="5"/>
      <c r="H1130" s="14">
        <v>1018.6</v>
      </c>
      <c r="I1130" s="15">
        <f>H1130*(1-'[1]Discounts page'!D$20)</f>
        <v>611.16</v>
      </c>
      <c r="J1130" s="55">
        <f t="shared" si="33"/>
        <v>917</v>
      </c>
    </row>
    <row r="1131" spans="1:10" ht="18.75" x14ac:dyDescent="0.3">
      <c r="A1131" s="8" t="s">
        <v>1170</v>
      </c>
      <c r="B1131" s="9" t="s">
        <v>1171</v>
      </c>
      <c r="C1131" s="9" t="s">
        <v>720</v>
      </c>
      <c r="F1131" s="14"/>
      <c r="G1131" s="5"/>
      <c r="H1131" s="14">
        <v>1020.7</v>
      </c>
      <c r="I1131" s="15">
        <f>H1131*(1-'[1]Discounts page'!D$20)</f>
        <v>612.41999999999996</v>
      </c>
      <c r="J1131" s="55">
        <f t="shared" si="33"/>
        <v>919</v>
      </c>
    </row>
    <row r="1132" spans="1:10" ht="18.75" x14ac:dyDescent="0.3">
      <c r="A1132" s="8" t="s">
        <v>1172</v>
      </c>
      <c r="B1132" s="9" t="s">
        <v>1173</v>
      </c>
      <c r="C1132" s="9" t="s">
        <v>720</v>
      </c>
      <c r="F1132" s="14"/>
      <c r="G1132" s="5"/>
      <c r="H1132" s="14">
        <v>1022.6</v>
      </c>
      <c r="I1132" s="15">
        <f>H1132*(1-'[1]Discounts page'!D$20)</f>
        <v>613.55999999999995</v>
      </c>
      <c r="J1132" s="55">
        <f t="shared" si="33"/>
        <v>921</v>
      </c>
    </row>
    <row r="1133" spans="1:10" ht="18.75" x14ac:dyDescent="0.3">
      <c r="A1133" s="8" t="s">
        <v>1174</v>
      </c>
      <c r="B1133" s="9" t="s">
        <v>1175</v>
      </c>
      <c r="C1133" s="9" t="s">
        <v>720</v>
      </c>
      <c r="F1133" s="14"/>
      <c r="G1133" s="5"/>
      <c r="H1133" s="14">
        <v>1024.6999999999998</v>
      </c>
      <c r="I1133" s="15">
        <f>H1133*(1-'[1]Discounts page'!D$20)</f>
        <v>614.81999999999982</v>
      </c>
      <c r="J1133" s="55">
        <f t="shared" si="33"/>
        <v>923</v>
      </c>
    </row>
    <row r="1134" spans="1:10" ht="18.75" x14ac:dyDescent="0.3">
      <c r="A1134" s="8" t="s">
        <v>1176</v>
      </c>
      <c r="B1134" s="9" t="s">
        <v>1177</v>
      </c>
      <c r="C1134" s="9" t="s">
        <v>720</v>
      </c>
      <c r="F1134" s="14"/>
      <c r="G1134" s="5"/>
      <c r="H1134" s="14">
        <v>1026.8999999999999</v>
      </c>
      <c r="I1134" s="15">
        <f>H1134*(1-'[1]Discounts page'!D$20)</f>
        <v>616.13999999999987</v>
      </c>
      <c r="J1134" s="55">
        <f t="shared" si="33"/>
        <v>925</v>
      </c>
    </row>
    <row r="1135" spans="1:10" ht="18.75" x14ac:dyDescent="0.3">
      <c r="A1135" s="8" t="s">
        <v>1178</v>
      </c>
      <c r="B1135" s="9" t="s">
        <v>1179</v>
      </c>
      <c r="C1135" s="9" t="s">
        <v>720</v>
      </c>
      <c r="F1135" s="14"/>
      <c r="G1135" s="5"/>
      <c r="H1135" s="14">
        <v>1054.6999999999998</v>
      </c>
      <c r="I1135" s="15">
        <f>H1135*(1-'[1]Discounts page'!D$20)</f>
        <v>632.81999999999982</v>
      </c>
      <c r="J1135" s="55">
        <f t="shared" si="33"/>
        <v>950</v>
      </c>
    </row>
    <row r="1136" spans="1:10" ht="18.75" x14ac:dyDescent="0.3">
      <c r="A1136" s="8" t="s">
        <v>1180</v>
      </c>
      <c r="B1136" s="9" t="s">
        <v>1181</v>
      </c>
      <c r="C1136" s="9" t="s">
        <v>720</v>
      </c>
      <c r="F1136" s="14"/>
      <c r="G1136" s="5"/>
      <c r="H1136" s="14">
        <v>1082.3999999999999</v>
      </c>
      <c r="I1136" s="15">
        <f>H1136*(1-'[1]Discounts page'!D$20)</f>
        <v>649.43999999999994</v>
      </c>
      <c r="J1136" s="55">
        <f t="shared" si="33"/>
        <v>975</v>
      </c>
    </row>
    <row r="1137" spans="1:10" ht="18.75" x14ac:dyDescent="0.3">
      <c r="A1137" s="8" t="s">
        <v>1182</v>
      </c>
      <c r="B1137" s="9" t="s">
        <v>1183</v>
      </c>
      <c r="C1137" s="9" t="s">
        <v>720</v>
      </c>
      <c r="F1137" s="14"/>
      <c r="G1137" s="5"/>
      <c r="H1137" s="14">
        <v>1109.8999999999999</v>
      </c>
      <c r="I1137" s="15">
        <f>H1137*(1-'[1]Discounts page'!D$20)</f>
        <v>665.93999999999994</v>
      </c>
      <c r="J1137" s="55">
        <f t="shared" si="33"/>
        <v>999</v>
      </c>
    </row>
    <row r="1138" spans="1:10" ht="18.75" x14ac:dyDescent="0.3">
      <c r="A1138" s="8" t="s">
        <v>1184</v>
      </c>
      <c r="B1138" s="9" t="s">
        <v>1185</v>
      </c>
      <c r="C1138" s="9" t="s">
        <v>720</v>
      </c>
      <c r="F1138" s="14"/>
      <c r="G1138" s="5"/>
      <c r="H1138" s="14">
        <v>1137.8</v>
      </c>
      <c r="I1138" s="15">
        <f>H1138*(1-'[1]Discounts page'!D$20)</f>
        <v>682.68</v>
      </c>
      <c r="J1138" s="55">
        <f t="shared" si="33"/>
        <v>1025</v>
      </c>
    </row>
    <row r="1139" spans="1:10" ht="18.75" x14ac:dyDescent="0.3">
      <c r="A1139" s="16" t="s">
        <v>1186</v>
      </c>
      <c r="B1139" s="9"/>
      <c r="C1139" s="9"/>
      <c r="F1139" s="14"/>
      <c r="G1139" s="5"/>
      <c r="H1139" s="14"/>
      <c r="I1139" s="15"/>
      <c r="J1139" s="55">
        <f t="shared" si="33"/>
        <v>0</v>
      </c>
    </row>
    <row r="1140" spans="1:10" ht="18.75" x14ac:dyDescent="0.3">
      <c r="A1140" s="8" t="s">
        <v>1187</v>
      </c>
      <c r="B1140" s="9" t="s">
        <v>1188</v>
      </c>
      <c r="C1140" s="9" t="s">
        <v>720</v>
      </c>
      <c r="F1140" s="14"/>
      <c r="G1140" s="5"/>
      <c r="H1140" s="14">
        <v>603.6</v>
      </c>
      <c r="I1140" s="15">
        <f>H1140*(1-'[1]Discounts page'!D$20)</f>
        <v>362.16</v>
      </c>
      <c r="J1140" s="55">
        <f t="shared" si="33"/>
        <v>544</v>
      </c>
    </row>
    <row r="1141" spans="1:10" ht="18.75" x14ac:dyDescent="0.3">
      <c r="A1141" s="8" t="s">
        <v>1189</v>
      </c>
      <c r="B1141" s="9" t="s">
        <v>1190</v>
      </c>
      <c r="C1141" s="9" t="s">
        <v>720</v>
      </c>
      <c r="F1141" s="14"/>
      <c r="G1141" s="5"/>
      <c r="H1141" s="14">
        <v>605.80000000000007</v>
      </c>
      <c r="I1141" s="15">
        <f>H1141*(1-'[1]Discounts page'!D$20)</f>
        <v>363.48</v>
      </c>
      <c r="J1141" s="55">
        <f t="shared" si="33"/>
        <v>546</v>
      </c>
    </row>
    <row r="1142" spans="1:10" ht="18.75" x14ac:dyDescent="0.3">
      <c r="A1142" s="8" t="s">
        <v>1191</v>
      </c>
      <c r="B1142" s="9" t="s">
        <v>1192</v>
      </c>
      <c r="C1142" s="9" t="s">
        <v>720</v>
      </c>
      <c r="F1142" s="14"/>
      <c r="G1142" s="5"/>
      <c r="H1142" s="14">
        <v>607.80000000000007</v>
      </c>
      <c r="I1142" s="15">
        <f>H1142*(1-'[1]Discounts page'!D$20)</f>
        <v>364.68</v>
      </c>
      <c r="J1142" s="55">
        <f t="shared" si="33"/>
        <v>548</v>
      </c>
    </row>
    <row r="1143" spans="1:10" ht="18.75" x14ac:dyDescent="0.3">
      <c r="A1143" s="8" t="s">
        <v>1193</v>
      </c>
      <c r="B1143" s="9" t="s">
        <v>1194</v>
      </c>
      <c r="C1143" s="9" t="s">
        <v>720</v>
      </c>
      <c r="F1143" s="14"/>
      <c r="G1143" s="5"/>
      <c r="H1143" s="14">
        <v>676</v>
      </c>
      <c r="I1143" s="15">
        <f>H1143*(1-'[1]Discounts page'!D$20)</f>
        <v>405.59999999999997</v>
      </c>
      <c r="J1143" s="55">
        <f t="shared" si="33"/>
        <v>609</v>
      </c>
    </row>
    <row r="1144" spans="1:10" ht="18.75" x14ac:dyDescent="0.3">
      <c r="A1144" s="8" t="s">
        <v>1195</v>
      </c>
      <c r="B1144" s="9" t="s">
        <v>1196</v>
      </c>
      <c r="C1144" s="9" t="s">
        <v>720</v>
      </c>
      <c r="F1144" s="14"/>
      <c r="G1144" s="5"/>
      <c r="H1144" s="14">
        <v>678</v>
      </c>
      <c r="I1144" s="15">
        <f>H1144*(1-'[1]Discounts page'!D$20)</f>
        <v>406.8</v>
      </c>
      <c r="J1144" s="55">
        <f t="shared" si="33"/>
        <v>611</v>
      </c>
    </row>
    <row r="1145" spans="1:10" ht="18.75" x14ac:dyDescent="0.3">
      <c r="A1145" s="8" t="s">
        <v>1197</v>
      </c>
      <c r="B1145" s="9" t="s">
        <v>1198</v>
      </c>
      <c r="C1145" s="9" t="s">
        <v>720</v>
      </c>
      <c r="F1145" s="14"/>
      <c r="G1145" s="5"/>
      <c r="H1145" s="14">
        <v>724.2</v>
      </c>
      <c r="I1145" s="15">
        <f>H1145*(1-'[1]Discounts page'!D$20)</f>
        <v>434.52000000000004</v>
      </c>
      <c r="J1145" s="55">
        <f t="shared" ref="J1145:J1208" si="34">ROUNDUP(I1145*1.5,0)</f>
        <v>652</v>
      </c>
    </row>
    <row r="1146" spans="1:10" ht="18.75" x14ac:dyDescent="0.3">
      <c r="A1146" s="8" t="s">
        <v>1199</v>
      </c>
      <c r="B1146" s="9" t="s">
        <v>1200</v>
      </c>
      <c r="C1146" s="9" t="s">
        <v>720</v>
      </c>
      <c r="F1146" s="14"/>
      <c r="G1146" s="5"/>
      <c r="H1146" s="14">
        <v>726.30000000000007</v>
      </c>
      <c r="I1146" s="15">
        <f>H1146*(1-'[1]Discounts page'!D$20)</f>
        <v>435.78000000000003</v>
      </c>
      <c r="J1146" s="55">
        <f t="shared" si="34"/>
        <v>654</v>
      </c>
    </row>
    <row r="1147" spans="1:10" ht="18.75" x14ac:dyDescent="0.3">
      <c r="A1147" s="8" t="s">
        <v>1201</v>
      </c>
      <c r="B1147" s="9" t="s">
        <v>1202</v>
      </c>
      <c r="C1147" s="9" t="s">
        <v>720</v>
      </c>
      <c r="F1147" s="14"/>
      <c r="G1147" s="5"/>
      <c r="H1147" s="14">
        <v>844.80000000000007</v>
      </c>
      <c r="I1147" s="15">
        <f>H1147*(1-'[1]Discounts page'!D$20)</f>
        <v>506.88</v>
      </c>
      <c r="J1147" s="55">
        <f t="shared" si="34"/>
        <v>761</v>
      </c>
    </row>
    <row r="1148" spans="1:10" ht="18.75" x14ac:dyDescent="0.3">
      <c r="A1148" s="8" t="s">
        <v>1203</v>
      </c>
      <c r="B1148" s="9" t="s">
        <v>1204</v>
      </c>
      <c r="C1148" s="9" t="s">
        <v>720</v>
      </c>
      <c r="F1148" s="14"/>
      <c r="G1148" s="5"/>
      <c r="H1148" s="14">
        <v>846.9</v>
      </c>
      <c r="I1148" s="15">
        <f>H1148*(1-'[1]Discounts page'!D$20)</f>
        <v>508.14</v>
      </c>
      <c r="J1148" s="55">
        <f t="shared" si="34"/>
        <v>763</v>
      </c>
    </row>
    <row r="1149" spans="1:10" ht="18.75" x14ac:dyDescent="0.3">
      <c r="A1149" s="8" t="s">
        <v>1205</v>
      </c>
      <c r="B1149" s="9" t="s">
        <v>1206</v>
      </c>
      <c r="C1149" s="9" t="s">
        <v>720</v>
      </c>
      <c r="F1149" s="14"/>
      <c r="G1149" s="5"/>
      <c r="H1149" s="14">
        <v>849</v>
      </c>
      <c r="I1149" s="15">
        <f>H1149*(1-'[1]Discounts page'!D$20)</f>
        <v>509.4</v>
      </c>
      <c r="J1149" s="55">
        <f t="shared" si="34"/>
        <v>765</v>
      </c>
    </row>
    <row r="1150" spans="1:10" ht="18.75" x14ac:dyDescent="0.3">
      <c r="A1150" s="8" t="s">
        <v>1207</v>
      </c>
      <c r="B1150" s="9" t="s">
        <v>1208</v>
      </c>
      <c r="C1150" s="9" t="s">
        <v>720</v>
      </c>
      <c r="F1150" s="14"/>
      <c r="G1150" s="5"/>
      <c r="H1150" s="14">
        <v>851.1</v>
      </c>
      <c r="I1150" s="15">
        <f>H1150*(1-'[1]Discounts page'!D$20)</f>
        <v>510.65999999999997</v>
      </c>
      <c r="J1150" s="55">
        <f t="shared" si="34"/>
        <v>766</v>
      </c>
    </row>
    <row r="1151" spans="1:10" ht="18.75" x14ac:dyDescent="0.3">
      <c r="A1151" s="8" t="s">
        <v>1209</v>
      </c>
      <c r="B1151" s="9" t="s">
        <v>1210</v>
      </c>
      <c r="C1151" s="9" t="s">
        <v>720</v>
      </c>
      <c r="F1151" s="14"/>
      <c r="G1151" s="5"/>
      <c r="H1151" s="14">
        <v>853.1</v>
      </c>
      <c r="I1151" s="15">
        <f>H1151*(1-'[1]Discounts page'!D$20)</f>
        <v>511.86</v>
      </c>
      <c r="J1151" s="55">
        <f t="shared" si="34"/>
        <v>768</v>
      </c>
    </row>
    <row r="1152" spans="1:10" ht="18.75" x14ac:dyDescent="0.3">
      <c r="A1152" s="8" t="s">
        <v>1211</v>
      </c>
      <c r="B1152" s="9" t="s">
        <v>1212</v>
      </c>
      <c r="C1152" s="9" t="s">
        <v>720</v>
      </c>
      <c r="F1152" s="14"/>
      <c r="G1152" s="5"/>
      <c r="H1152" s="14">
        <v>965.4</v>
      </c>
      <c r="I1152" s="15">
        <f>H1152*(1-'[1]Discounts page'!D$20)</f>
        <v>579.24</v>
      </c>
      <c r="J1152" s="55">
        <f t="shared" si="34"/>
        <v>869</v>
      </c>
    </row>
    <row r="1153" spans="1:10" ht="18.75" x14ac:dyDescent="0.3">
      <c r="A1153" s="8" t="s">
        <v>1213</v>
      </c>
      <c r="B1153" s="9" t="s">
        <v>1214</v>
      </c>
      <c r="C1153" s="9" t="s">
        <v>720</v>
      </c>
      <c r="F1153" s="14"/>
      <c r="G1153" s="5"/>
      <c r="H1153" s="14">
        <v>967.5</v>
      </c>
      <c r="I1153" s="15">
        <f>H1153*(1-'[1]Discounts page'!D$20)</f>
        <v>580.5</v>
      </c>
      <c r="J1153" s="55">
        <f t="shared" si="34"/>
        <v>871</v>
      </c>
    </row>
    <row r="1154" spans="1:10" ht="18.75" x14ac:dyDescent="0.3">
      <c r="A1154" s="8" t="s">
        <v>1215</v>
      </c>
      <c r="B1154" s="9" t="s">
        <v>1216</v>
      </c>
      <c r="C1154" s="9" t="s">
        <v>720</v>
      </c>
      <c r="F1154" s="14"/>
      <c r="G1154" s="5"/>
      <c r="H1154" s="14">
        <v>969.5</v>
      </c>
      <c r="I1154" s="15">
        <f>H1154*(1-'[1]Discounts page'!D$20)</f>
        <v>581.69999999999993</v>
      </c>
      <c r="J1154" s="55">
        <f t="shared" si="34"/>
        <v>873</v>
      </c>
    </row>
    <row r="1155" spans="1:10" ht="18.75" x14ac:dyDescent="0.3">
      <c r="A1155" s="8" t="s">
        <v>1217</v>
      </c>
      <c r="B1155" s="9" t="s">
        <v>1218</v>
      </c>
      <c r="C1155" s="9" t="s">
        <v>720</v>
      </c>
      <c r="F1155" s="14"/>
      <c r="G1155" s="5"/>
      <c r="H1155" s="14">
        <v>1086.0999999999999</v>
      </c>
      <c r="I1155" s="15">
        <f>H1155*(1-'[1]Discounts page'!D$20)</f>
        <v>651.66</v>
      </c>
      <c r="J1155" s="55">
        <f t="shared" si="34"/>
        <v>978</v>
      </c>
    </row>
    <row r="1156" spans="1:10" ht="18.75" x14ac:dyDescent="0.3">
      <c r="A1156" s="8" t="s">
        <v>1219</v>
      </c>
      <c r="B1156" s="9" t="s">
        <v>1220</v>
      </c>
      <c r="C1156" s="9" t="s">
        <v>720</v>
      </c>
      <c r="F1156" s="14"/>
      <c r="G1156" s="5"/>
      <c r="H1156" s="14">
        <v>1088.1999999999998</v>
      </c>
      <c r="I1156" s="15">
        <f>H1156*(1-'[1]Discounts page'!D$20)</f>
        <v>652.91999999999985</v>
      </c>
      <c r="J1156" s="55">
        <f t="shared" si="34"/>
        <v>980</v>
      </c>
    </row>
    <row r="1157" spans="1:10" ht="18.75" x14ac:dyDescent="0.3">
      <c r="A1157" s="8" t="s">
        <v>1221</v>
      </c>
      <c r="B1157" s="9" t="s">
        <v>1222</v>
      </c>
      <c r="C1157" s="9" t="s">
        <v>720</v>
      </c>
      <c r="F1157" s="14"/>
      <c r="G1157" s="5"/>
      <c r="H1157" s="14">
        <v>1090.5</v>
      </c>
      <c r="I1157" s="15">
        <f>H1157*(1-'[1]Discounts page'!D$20)</f>
        <v>654.29999999999995</v>
      </c>
      <c r="J1157" s="55">
        <f t="shared" si="34"/>
        <v>982</v>
      </c>
    </row>
    <row r="1158" spans="1:10" ht="18.75" x14ac:dyDescent="0.3">
      <c r="A1158" s="8" t="s">
        <v>1223</v>
      </c>
      <c r="B1158" s="9" t="s">
        <v>1224</v>
      </c>
      <c r="C1158" s="9" t="s">
        <v>720</v>
      </c>
      <c r="F1158" s="14"/>
      <c r="G1158" s="5"/>
      <c r="H1158" s="14">
        <v>1340.8999999999999</v>
      </c>
      <c r="I1158" s="15">
        <f>H1158*(1-'[1]Discounts page'!D$20)</f>
        <v>804.53999999999985</v>
      </c>
      <c r="J1158" s="55">
        <f t="shared" si="34"/>
        <v>1207</v>
      </c>
    </row>
    <row r="1159" spans="1:10" ht="18.75" x14ac:dyDescent="0.3">
      <c r="A1159" s="8" t="s">
        <v>1225</v>
      </c>
      <c r="B1159" s="9" t="s">
        <v>1226</v>
      </c>
      <c r="C1159" s="9" t="s">
        <v>720</v>
      </c>
      <c r="F1159" s="14"/>
      <c r="G1159" s="5"/>
      <c r="H1159" s="14">
        <v>1343</v>
      </c>
      <c r="I1159" s="15">
        <f>H1159*(1-'[1]Discounts page'!D$20)</f>
        <v>805.8</v>
      </c>
      <c r="J1159" s="55">
        <f t="shared" si="34"/>
        <v>1209</v>
      </c>
    </row>
    <row r="1160" spans="1:10" ht="18.75" x14ac:dyDescent="0.3">
      <c r="A1160" s="8" t="s">
        <v>1227</v>
      </c>
      <c r="B1160" s="9" t="s">
        <v>1228</v>
      </c>
      <c r="C1160" s="9" t="s">
        <v>720</v>
      </c>
      <c r="F1160" s="14"/>
      <c r="G1160" s="5"/>
      <c r="H1160" s="14">
        <v>1344.8</v>
      </c>
      <c r="I1160" s="15">
        <f>H1160*(1-'[1]Discounts page'!D$20)</f>
        <v>806.88</v>
      </c>
      <c r="J1160" s="55">
        <f t="shared" si="34"/>
        <v>1211</v>
      </c>
    </row>
    <row r="1161" spans="1:10" ht="18.75" x14ac:dyDescent="0.3">
      <c r="A1161" s="8" t="s">
        <v>1229</v>
      </c>
      <c r="B1161" s="9" t="s">
        <v>1230</v>
      </c>
      <c r="C1161" s="9" t="s">
        <v>720</v>
      </c>
      <c r="F1161" s="14"/>
      <c r="G1161" s="5"/>
      <c r="H1161" s="14">
        <v>1346.8999999999999</v>
      </c>
      <c r="I1161" s="15">
        <f>H1161*(1-'[1]Discounts page'!D$20)</f>
        <v>808.13999999999987</v>
      </c>
      <c r="J1161" s="55">
        <f t="shared" si="34"/>
        <v>1213</v>
      </c>
    </row>
    <row r="1162" spans="1:10" ht="18.75" x14ac:dyDescent="0.3">
      <c r="A1162" s="8" t="s">
        <v>1231</v>
      </c>
      <c r="B1162" s="9" t="s">
        <v>1232</v>
      </c>
      <c r="C1162" s="9" t="s">
        <v>720</v>
      </c>
      <c r="F1162" s="14"/>
      <c r="G1162" s="5"/>
      <c r="H1162" s="14">
        <v>1474.8999999999999</v>
      </c>
      <c r="I1162" s="15">
        <f>H1162*(1-'[1]Discounts page'!D$20)</f>
        <v>884.93999999999994</v>
      </c>
      <c r="J1162" s="55">
        <f t="shared" si="34"/>
        <v>1328</v>
      </c>
    </row>
    <row r="1163" spans="1:10" ht="18.75" x14ac:dyDescent="0.3">
      <c r="A1163" s="8" t="s">
        <v>1233</v>
      </c>
      <c r="B1163" s="9" t="s">
        <v>1234</v>
      </c>
      <c r="C1163" s="9" t="s">
        <v>720</v>
      </c>
      <c r="F1163" s="14"/>
      <c r="G1163" s="5"/>
      <c r="H1163" s="14">
        <v>1477.1</v>
      </c>
      <c r="I1163" s="15">
        <f>H1163*(1-'[1]Discounts page'!D$20)</f>
        <v>886.25999999999988</v>
      </c>
      <c r="J1163" s="55">
        <f t="shared" si="34"/>
        <v>1330</v>
      </c>
    </row>
    <row r="1164" spans="1:10" ht="18.75" x14ac:dyDescent="0.3">
      <c r="A1164" s="8" t="s">
        <v>1235</v>
      </c>
      <c r="B1164" s="9" t="s">
        <v>1236</v>
      </c>
      <c r="C1164" s="9" t="s">
        <v>720</v>
      </c>
      <c r="F1164" s="14"/>
      <c r="G1164" s="5"/>
      <c r="H1164" s="14">
        <v>1479</v>
      </c>
      <c r="I1164" s="15">
        <f>H1164*(1-'[1]Discounts page'!D$20)</f>
        <v>887.4</v>
      </c>
      <c r="J1164" s="55">
        <f t="shared" si="34"/>
        <v>1332</v>
      </c>
    </row>
    <row r="1165" spans="1:10" ht="18.75" x14ac:dyDescent="0.3">
      <c r="A1165" s="8" t="s">
        <v>1237</v>
      </c>
      <c r="B1165" s="9" t="s">
        <v>1238</v>
      </c>
      <c r="C1165" s="9" t="s">
        <v>720</v>
      </c>
      <c r="F1165" s="14"/>
      <c r="G1165" s="5"/>
      <c r="H1165" s="14">
        <v>1608.8999999999999</v>
      </c>
      <c r="I1165" s="15">
        <f>H1165*(1-'[1]Discounts page'!D$20)</f>
        <v>965.33999999999992</v>
      </c>
      <c r="J1165" s="55">
        <f t="shared" si="34"/>
        <v>1449</v>
      </c>
    </row>
    <row r="1166" spans="1:10" ht="18.75" x14ac:dyDescent="0.3">
      <c r="A1166" s="8" t="s">
        <v>1239</v>
      </c>
      <c r="B1166" s="9" t="s">
        <v>1240</v>
      </c>
      <c r="C1166" s="9" t="s">
        <v>720</v>
      </c>
      <c r="F1166" s="14"/>
      <c r="G1166" s="5"/>
      <c r="H1166" s="14">
        <v>1611</v>
      </c>
      <c r="I1166" s="15">
        <f>H1166*(1-'[1]Discounts page'!D$20)</f>
        <v>966.59999999999991</v>
      </c>
      <c r="J1166" s="55">
        <f t="shared" si="34"/>
        <v>1450</v>
      </c>
    </row>
    <row r="1167" spans="1:10" ht="18.75" x14ac:dyDescent="0.3">
      <c r="A1167" s="8" t="s">
        <v>1241</v>
      </c>
      <c r="B1167" s="9" t="s">
        <v>1242</v>
      </c>
      <c r="C1167" s="9" t="s">
        <v>720</v>
      </c>
      <c r="F1167" s="14"/>
      <c r="G1167" s="5"/>
      <c r="H1167" s="14">
        <v>1612.8999999999999</v>
      </c>
      <c r="I1167" s="15">
        <f>H1167*(1-'[1]Discounts page'!D$20)</f>
        <v>967.7399999999999</v>
      </c>
      <c r="J1167" s="55">
        <f t="shared" si="34"/>
        <v>1452</v>
      </c>
    </row>
    <row r="1168" spans="1:10" ht="18.75" x14ac:dyDescent="0.3">
      <c r="A1168" s="8" t="s">
        <v>1243</v>
      </c>
      <c r="B1168" s="9" t="s">
        <v>1244</v>
      </c>
      <c r="C1168" s="9" t="s">
        <v>720</v>
      </c>
      <c r="F1168" s="14"/>
      <c r="G1168" s="5"/>
      <c r="H1168" s="14">
        <v>1615.1</v>
      </c>
      <c r="I1168" s="15">
        <f>H1168*(1-'[1]Discounts page'!D$20)</f>
        <v>969.06</v>
      </c>
      <c r="J1168" s="55">
        <f t="shared" si="34"/>
        <v>1454</v>
      </c>
    </row>
    <row r="1169" spans="1:10" ht="18.75" x14ac:dyDescent="0.3">
      <c r="A1169" s="8" t="s">
        <v>1245</v>
      </c>
      <c r="B1169" s="9" t="s">
        <v>1246</v>
      </c>
      <c r="C1169" s="9" t="s">
        <v>720</v>
      </c>
      <c r="F1169" s="14"/>
      <c r="G1169" s="5"/>
      <c r="H1169" s="14">
        <v>1617.1</v>
      </c>
      <c r="I1169" s="15">
        <f>H1169*(1-'[1]Discounts page'!D$20)</f>
        <v>970.25999999999988</v>
      </c>
      <c r="J1169" s="55">
        <f t="shared" si="34"/>
        <v>1456</v>
      </c>
    </row>
    <row r="1170" spans="1:10" ht="18.75" x14ac:dyDescent="0.3">
      <c r="A1170" s="8" t="s">
        <v>1247</v>
      </c>
      <c r="B1170" s="9" t="s">
        <v>1248</v>
      </c>
      <c r="C1170" s="9" t="s">
        <v>720</v>
      </c>
      <c r="F1170" s="14"/>
      <c r="G1170" s="5"/>
      <c r="H1170" s="14">
        <v>1743</v>
      </c>
      <c r="I1170" s="15">
        <f>H1170*(1-'[1]Discounts page'!D$20)</f>
        <v>1045.8</v>
      </c>
      <c r="J1170" s="55">
        <f t="shared" si="34"/>
        <v>1569</v>
      </c>
    </row>
    <row r="1171" spans="1:10" ht="18.75" x14ac:dyDescent="0.3">
      <c r="A1171" s="8" t="s">
        <v>1249</v>
      </c>
      <c r="B1171" s="9" t="s">
        <v>1250</v>
      </c>
      <c r="C1171" s="9" t="s">
        <v>720</v>
      </c>
      <c r="F1171" s="14"/>
      <c r="G1171" s="5"/>
      <c r="H1171" s="14">
        <v>1745</v>
      </c>
      <c r="I1171" s="15">
        <f>H1171*(1-'[1]Discounts page'!D$20)</f>
        <v>1047</v>
      </c>
      <c r="J1171" s="55">
        <f t="shared" si="34"/>
        <v>1571</v>
      </c>
    </row>
    <row r="1172" spans="1:10" ht="18.75" x14ac:dyDescent="0.3">
      <c r="A1172" s="8" t="s">
        <v>1251</v>
      </c>
      <c r="B1172" s="9" t="s">
        <v>1252</v>
      </c>
      <c r="C1172" s="9" t="s">
        <v>720</v>
      </c>
      <c r="F1172" s="14"/>
      <c r="G1172" s="5"/>
      <c r="H1172" s="14">
        <v>1747.1999999999998</v>
      </c>
      <c r="I1172" s="15">
        <f>H1172*(1-'[1]Discounts page'!D$20)</f>
        <v>1048.32</v>
      </c>
      <c r="J1172" s="55">
        <f t="shared" si="34"/>
        <v>1573</v>
      </c>
    </row>
    <row r="1173" spans="1:10" ht="18.75" x14ac:dyDescent="0.3">
      <c r="A1173" s="8" t="s">
        <v>1253</v>
      </c>
      <c r="B1173" s="9" t="s">
        <v>1254</v>
      </c>
      <c r="C1173" s="9" t="s">
        <v>720</v>
      </c>
      <c r="F1173" s="14"/>
      <c r="G1173" s="5"/>
      <c r="H1173" s="14">
        <v>1749</v>
      </c>
      <c r="I1173" s="15">
        <f>H1173*(1-'[1]Discounts page'!D$20)</f>
        <v>1049.3999999999999</v>
      </c>
      <c r="J1173" s="55">
        <f t="shared" si="34"/>
        <v>1575</v>
      </c>
    </row>
    <row r="1174" spans="1:10" ht="18.75" x14ac:dyDescent="0.3">
      <c r="A1174" s="8" t="s">
        <v>1255</v>
      </c>
      <c r="B1174" s="9" t="s">
        <v>1256</v>
      </c>
      <c r="C1174" s="9" t="s">
        <v>720</v>
      </c>
      <c r="F1174" s="14"/>
      <c r="G1174" s="5"/>
      <c r="H1174" s="14">
        <v>1751.1999999999998</v>
      </c>
      <c r="I1174" s="15">
        <f>H1174*(1-'[1]Discounts page'!D$20)</f>
        <v>1050.7199999999998</v>
      </c>
      <c r="J1174" s="55">
        <f t="shared" si="34"/>
        <v>1577</v>
      </c>
    </row>
    <row r="1175" spans="1:10" ht="18.75" x14ac:dyDescent="0.3">
      <c r="A1175" s="8" t="s">
        <v>1257</v>
      </c>
      <c r="B1175" s="9" t="s">
        <v>1258</v>
      </c>
      <c r="C1175" s="9" t="s">
        <v>720</v>
      </c>
      <c r="F1175" s="14"/>
      <c r="G1175" s="5"/>
      <c r="H1175" s="14">
        <v>1876.9</v>
      </c>
      <c r="I1175" s="15">
        <f>H1175*(1-'[1]Discounts page'!D$20)</f>
        <v>1126.1400000000001</v>
      </c>
      <c r="J1175" s="55">
        <f t="shared" si="34"/>
        <v>1690</v>
      </c>
    </row>
    <row r="1176" spans="1:10" ht="18.75" x14ac:dyDescent="0.3">
      <c r="A1176" s="8" t="s">
        <v>1259</v>
      </c>
      <c r="B1176" s="9" t="s">
        <v>1260</v>
      </c>
      <c r="C1176" s="9" t="s">
        <v>720</v>
      </c>
      <c r="F1176" s="14"/>
      <c r="G1176" s="5"/>
      <c r="H1176" s="14">
        <v>1879</v>
      </c>
      <c r="I1176" s="15">
        <f>H1176*(1-'[1]Discounts page'!D$20)</f>
        <v>1127.3999999999999</v>
      </c>
      <c r="J1176" s="55">
        <f t="shared" si="34"/>
        <v>1692</v>
      </c>
    </row>
    <row r="1177" spans="1:10" ht="18.75" x14ac:dyDescent="0.3">
      <c r="A1177" s="8" t="s">
        <v>1261</v>
      </c>
      <c r="B1177" s="9" t="s">
        <v>1262</v>
      </c>
      <c r="C1177" s="9" t="s">
        <v>720</v>
      </c>
      <c r="F1177" s="14"/>
      <c r="G1177" s="5"/>
      <c r="H1177" s="14">
        <v>1881.3</v>
      </c>
      <c r="I1177" s="15">
        <f>H1177*(1-'[1]Discounts page'!D$20)</f>
        <v>1128.78</v>
      </c>
      <c r="J1177" s="55">
        <f t="shared" si="34"/>
        <v>1694</v>
      </c>
    </row>
    <row r="1178" spans="1:10" ht="18.75" x14ac:dyDescent="0.3">
      <c r="A1178" s="8" t="s">
        <v>1263</v>
      </c>
      <c r="B1178" s="9" t="s">
        <v>1264</v>
      </c>
      <c r="C1178" s="9" t="s">
        <v>720</v>
      </c>
      <c r="F1178" s="14"/>
      <c r="G1178" s="5"/>
      <c r="H1178" s="14">
        <v>1883.1999999999998</v>
      </c>
      <c r="I1178" s="15">
        <f>H1178*(1-'[1]Discounts page'!D$20)</f>
        <v>1129.9199999999998</v>
      </c>
      <c r="J1178" s="55">
        <f t="shared" si="34"/>
        <v>1695</v>
      </c>
    </row>
    <row r="1179" spans="1:10" ht="18.75" x14ac:dyDescent="0.3">
      <c r="A1179" s="8" t="s">
        <v>1265</v>
      </c>
      <c r="B1179" s="9" t="s">
        <v>1266</v>
      </c>
      <c r="C1179" s="9" t="s">
        <v>720</v>
      </c>
      <c r="F1179" s="14"/>
      <c r="G1179" s="5"/>
      <c r="H1179" s="14">
        <v>1885.3</v>
      </c>
      <c r="I1179" s="15">
        <f>H1179*(1-'[1]Discounts page'!D$20)</f>
        <v>1131.1799999999998</v>
      </c>
      <c r="J1179" s="55">
        <f t="shared" si="34"/>
        <v>1697</v>
      </c>
    </row>
    <row r="1180" spans="1:10" ht="18.75" x14ac:dyDescent="0.3">
      <c r="A1180" s="8" t="s">
        <v>1267</v>
      </c>
      <c r="B1180" s="9" t="s">
        <v>1268</v>
      </c>
      <c r="C1180" s="9" t="s">
        <v>720</v>
      </c>
      <c r="F1180" s="14"/>
      <c r="G1180" s="5"/>
      <c r="H1180" s="14">
        <v>2011.1</v>
      </c>
      <c r="I1180" s="15">
        <f>H1180*(1-'[1]Discounts page'!D$20)</f>
        <v>1206.6599999999999</v>
      </c>
      <c r="J1180" s="55">
        <f t="shared" si="34"/>
        <v>1810</v>
      </c>
    </row>
    <row r="1181" spans="1:10" ht="18.75" x14ac:dyDescent="0.3">
      <c r="A1181" s="8" t="s">
        <v>1269</v>
      </c>
      <c r="B1181" s="9" t="s">
        <v>1270</v>
      </c>
      <c r="C1181" s="9" t="s">
        <v>720</v>
      </c>
      <c r="F1181" s="14"/>
      <c r="G1181" s="5"/>
      <c r="H1181" s="14">
        <v>2013.1</v>
      </c>
      <c r="I1181" s="15">
        <f>H1181*(1-'[1]Discounts page'!D$20)</f>
        <v>1207.8599999999999</v>
      </c>
      <c r="J1181" s="55">
        <f t="shared" si="34"/>
        <v>1812</v>
      </c>
    </row>
    <row r="1182" spans="1:10" ht="18.75" x14ac:dyDescent="0.3">
      <c r="A1182" s="8" t="s">
        <v>1271</v>
      </c>
      <c r="B1182" s="9" t="s">
        <v>1272</v>
      </c>
      <c r="C1182" s="9" t="s">
        <v>720</v>
      </c>
      <c r="F1182" s="14"/>
      <c r="G1182" s="5"/>
      <c r="H1182" s="14">
        <v>2015</v>
      </c>
      <c r="I1182" s="15">
        <f>H1182*(1-'[1]Discounts page'!D$20)</f>
        <v>1209</v>
      </c>
      <c r="J1182" s="55">
        <f t="shared" si="34"/>
        <v>1814</v>
      </c>
    </row>
    <row r="1183" spans="1:10" ht="18.75" x14ac:dyDescent="0.3">
      <c r="A1183" s="8" t="s">
        <v>1273</v>
      </c>
      <c r="B1183" s="9" t="s">
        <v>1274</v>
      </c>
      <c r="C1183" s="9" t="s">
        <v>720</v>
      </c>
      <c r="F1183" s="14"/>
      <c r="G1183" s="5"/>
      <c r="H1183" s="14">
        <v>2017.3</v>
      </c>
      <c r="I1183" s="15">
        <f>H1183*(1-'[1]Discounts page'!D$20)</f>
        <v>1210.3799999999999</v>
      </c>
      <c r="J1183" s="55">
        <f t="shared" si="34"/>
        <v>1816</v>
      </c>
    </row>
    <row r="1184" spans="1:10" ht="18.75" x14ac:dyDescent="0.3">
      <c r="A1184" s="8" t="s">
        <v>1275</v>
      </c>
      <c r="B1184" s="9" t="s">
        <v>1276</v>
      </c>
      <c r="C1184" s="9" t="s">
        <v>720</v>
      </c>
      <c r="F1184" s="14"/>
      <c r="G1184" s="5"/>
      <c r="H1184" s="14">
        <v>2019.3</v>
      </c>
      <c r="I1184" s="15">
        <f>H1184*(1-'[1]Discounts page'!D$20)</f>
        <v>1211.58</v>
      </c>
      <c r="J1184" s="55">
        <f t="shared" si="34"/>
        <v>1818</v>
      </c>
    </row>
    <row r="1185" spans="1:10" ht="18.75" x14ac:dyDescent="0.3">
      <c r="A1185" s="4"/>
      <c r="B1185" s="5"/>
      <c r="C1185" s="5"/>
      <c r="F1185" s="14"/>
      <c r="G1185" s="5"/>
      <c r="H1185" s="14"/>
      <c r="I1185" s="15"/>
      <c r="J1185" s="55">
        <f t="shared" si="34"/>
        <v>0</v>
      </c>
    </row>
    <row r="1186" spans="1:10" ht="18.75" x14ac:dyDescent="0.3">
      <c r="A1186" s="6" t="s">
        <v>1277</v>
      </c>
      <c r="B1186" s="5"/>
      <c r="C1186" s="5"/>
      <c r="F1186" s="14"/>
      <c r="G1186" s="5"/>
      <c r="H1186" s="14"/>
      <c r="I1186" s="15"/>
      <c r="J1186" s="55">
        <f t="shared" si="34"/>
        <v>0</v>
      </c>
    </row>
    <row r="1187" spans="1:10" ht="18.75" x14ac:dyDescent="0.3">
      <c r="A1187" s="20" t="s">
        <v>1278</v>
      </c>
      <c r="B1187" s="9"/>
      <c r="C1187" s="9"/>
      <c r="F1187" s="10"/>
      <c r="G1187" s="9"/>
      <c r="H1187" s="10"/>
      <c r="I1187" s="12"/>
      <c r="J1187" s="55">
        <f t="shared" si="34"/>
        <v>0</v>
      </c>
    </row>
    <row r="1188" spans="1:10" ht="18.75" x14ac:dyDescent="0.3">
      <c r="A1188" s="8" t="s">
        <v>1279</v>
      </c>
      <c r="B1188" s="9" t="s">
        <v>1280</v>
      </c>
      <c r="C1188" s="9" t="s">
        <v>1281</v>
      </c>
      <c r="F1188" s="10"/>
      <c r="G1188" s="9"/>
      <c r="H1188" s="10">
        <v>20.100000000000001</v>
      </c>
      <c r="I1188" s="12">
        <f>H1188*(1-'[1]Discounts page'!D$21)</f>
        <v>12.06</v>
      </c>
      <c r="J1188" s="55">
        <f t="shared" si="34"/>
        <v>19</v>
      </c>
    </row>
    <row r="1189" spans="1:10" ht="18.75" x14ac:dyDescent="0.3">
      <c r="A1189" s="8" t="s">
        <v>1282</v>
      </c>
      <c r="B1189" s="9" t="s">
        <v>1283</v>
      </c>
      <c r="C1189" s="9" t="s">
        <v>1281</v>
      </c>
      <c r="F1189" s="10"/>
      <c r="G1189" s="9"/>
      <c r="H1189" s="10">
        <v>20.100000000000001</v>
      </c>
      <c r="I1189" s="12">
        <f>H1189*(1-'[1]Discounts page'!D$21)</f>
        <v>12.06</v>
      </c>
      <c r="J1189" s="55">
        <f t="shared" si="34"/>
        <v>19</v>
      </c>
    </row>
    <row r="1190" spans="1:10" ht="18.75" x14ac:dyDescent="0.3">
      <c r="A1190" s="8" t="s">
        <v>1284</v>
      </c>
      <c r="B1190" s="9" t="s">
        <v>1285</v>
      </c>
      <c r="C1190" s="9" t="s">
        <v>1281</v>
      </c>
      <c r="F1190" s="10"/>
      <c r="G1190" s="9"/>
      <c r="H1190" s="10">
        <v>20.3</v>
      </c>
      <c r="I1190" s="12">
        <f>H1190*(1-'[1]Discounts page'!D$21)</f>
        <v>12.18</v>
      </c>
      <c r="J1190" s="55">
        <f t="shared" si="34"/>
        <v>19</v>
      </c>
    </row>
    <row r="1191" spans="1:10" ht="18.75" x14ac:dyDescent="0.3">
      <c r="A1191" s="8" t="s">
        <v>1286</v>
      </c>
      <c r="B1191" s="9" t="s">
        <v>1287</v>
      </c>
      <c r="C1191" s="9" t="s">
        <v>1281</v>
      </c>
      <c r="F1191" s="10"/>
      <c r="G1191" s="9"/>
      <c r="H1191" s="10">
        <v>20.5</v>
      </c>
      <c r="I1191" s="12">
        <f>H1191*(1-'[1]Discounts page'!D$21)</f>
        <v>12.299999999999999</v>
      </c>
      <c r="J1191" s="55">
        <f t="shared" si="34"/>
        <v>19</v>
      </c>
    </row>
    <row r="1192" spans="1:10" ht="18.75" x14ac:dyDescent="0.3">
      <c r="A1192" s="8" t="s">
        <v>1288</v>
      </c>
      <c r="B1192" s="9" t="s">
        <v>1289</v>
      </c>
      <c r="C1192" s="9" t="s">
        <v>1281</v>
      </c>
      <c r="F1192" s="10"/>
      <c r="G1192" s="9"/>
      <c r="H1192" s="10">
        <v>20.5</v>
      </c>
      <c r="I1192" s="12">
        <f>H1192*(1-'[1]Discounts page'!D$21)</f>
        <v>12.299999999999999</v>
      </c>
      <c r="J1192" s="55">
        <f t="shared" si="34"/>
        <v>19</v>
      </c>
    </row>
    <row r="1193" spans="1:10" ht="18.75" x14ac:dyDescent="0.3">
      <c r="A1193" s="8" t="s">
        <v>1290</v>
      </c>
      <c r="B1193" s="9" t="s">
        <v>1291</v>
      </c>
      <c r="C1193" s="9" t="s">
        <v>1281</v>
      </c>
      <c r="F1193" s="10"/>
      <c r="G1193" s="9"/>
      <c r="H1193" s="10">
        <v>21.6</v>
      </c>
      <c r="I1193" s="12">
        <f>H1193*(1-'[1]Discounts page'!D$21)</f>
        <v>12.96</v>
      </c>
      <c r="J1193" s="55">
        <f t="shared" si="34"/>
        <v>20</v>
      </c>
    </row>
    <row r="1194" spans="1:10" ht="18.75" x14ac:dyDescent="0.3">
      <c r="A1194" s="8" t="s">
        <v>1292</v>
      </c>
      <c r="B1194" s="9" t="s">
        <v>1293</v>
      </c>
      <c r="C1194" s="9" t="s">
        <v>1281</v>
      </c>
      <c r="F1194" s="10"/>
      <c r="G1194" s="9"/>
      <c r="H1194" s="10">
        <v>21.6</v>
      </c>
      <c r="I1194" s="12">
        <f>H1194*(1-'[1]Discounts page'!D$21)</f>
        <v>12.96</v>
      </c>
      <c r="J1194" s="55">
        <f t="shared" si="34"/>
        <v>20</v>
      </c>
    </row>
    <row r="1195" spans="1:10" ht="18.75" x14ac:dyDescent="0.3">
      <c r="A1195" s="8" t="s">
        <v>1294</v>
      </c>
      <c r="B1195" s="9" t="s">
        <v>1295</v>
      </c>
      <c r="C1195" s="9" t="s">
        <v>1281</v>
      </c>
      <c r="F1195" s="10"/>
      <c r="G1195" s="9"/>
      <c r="H1195" s="10">
        <v>22.3</v>
      </c>
      <c r="I1195" s="12">
        <f>H1195*(1-'[1]Discounts page'!D$21)</f>
        <v>13.38</v>
      </c>
      <c r="J1195" s="55">
        <f t="shared" si="34"/>
        <v>21</v>
      </c>
    </row>
    <row r="1196" spans="1:10" ht="18.75" x14ac:dyDescent="0.3">
      <c r="A1196" s="8" t="s">
        <v>1296</v>
      </c>
      <c r="B1196" s="9" t="s">
        <v>1297</v>
      </c>
      <c r="C1196" s="9" t="s">
        <v>1281</v>
      </c>
      <c r="F1196" s="10"/>
      <c r="G1196" s="9"/>
      <c r="H1196" s="10">
        <v>25.200000000000003</v>
      </c>
      <c r="I1196" s="12">
        <f>H1196*(1-'[1]Discounts page'!D$21)</f>
        <v>15.120000000000001</v>
      </c>
      <c r="J1196" s="55">
        <f t="shared" si="34"/>
        <v>23</v>
      </c>
    </row>
    <row r="1197" spans="1:10" ht="18.75" x14ac:dyDescent="0.3">
      <c r="A1197" s="8" t="s">
        <v>1298</v>
      </c>
      <c r="B1197" s="9" t="s">
        <v>1299</v>
      </c>
      <c r="C1197" s="9" t="s">
        <v>1281</v>
      </c>
      <c r="F1197" s="10"/>
      <c r="G1197" s="9"/>
      <c r="H1197" s="10">
        <v>25.8</v>
      </c>
      <c r="I1197" s="12">
        <f>H1197*(1-'[1]Discounts page'!D$21)</f>
        <v>15.48</v>
      </c>
      <c r="J1197" s="55">
        <f t="shared" si="34"/>
        <v>24</v>
      </c>
    </row>
    <row r="1198" spans="1:10" ht="18.75" x14ac:dyDescent="0.3">
      <c r="A1198" s="8" t="s">
        <v>1300</v>
      </c>
      <c r="B1198" s="9" t="s">
        <v>1301</v>
      </c>
      <c r="C1198" s="9" t="s">
        <v>1281</v>
      </c>
      <c r="F1198" s="10"/>
      <c r="G1198" s="9"/>
      <c r="H1198" s="10">
        <v>26.8</v>
      </c>
      <c r="I1198" s="12">
        <f>H1198*(1-'[1]Discounts page'!D$21)</f>
        <v>16.079999999999998</v>
      </c>
      <c r="J1198" s="55">
        <f t="shared" si="34"/>
        <v>25</v>
      </c>
    </row>
    <row r="1199" spans="1:10" ht="18.75" x14ac:dyDescent="0.3">
      <c r="A1199" s="8" t="s">
        <v>1302</v>
      </c>
      <c r="B1199" s="9" t="s">
        <v>1303</v>
      </c>
      <c r="C1199" s="9" t="s">
        <v>1281</v>
      </c>
      <c r="F1199" s="10"/>
      <c r="G1199" s="9"/>
      <c r="H1199" s="10">
        <v>28.700000000000003</v>
      </c>
      <c r="I1199" s="12">
        <f>H1199*(1-'[1]Discounts page'!D$21)</f>
        <v>17.220000000000002</v>
      </c>
      <c r="J1199" s="55">
        <f t="shared" si="34"/>
        <v>26</v>
      </c>
    </row>
    <row r="1200" spans="1:10" ht="18.75" x14ac:dyDescent="0.3">
      <c r="A1200" s="8" t="s">
        <v>1304</v>
      </c>
      <c r="B1200" s="9" t="s">
        <v>1305</v>
      </c>
      <c r="C1200" s="9" t="s">
        <v>1281</v>
      </c>
      <c r="F1200" s="10"/>
      <c r="G1200" s="9"/>
      <c r="H1200" s="10">
        <v>29</v>
      </c>
      <c r="I1200" s="12">
        <f>H1200*(1-'[1]Discounts page'!D$21)</f>
        <v>17.399999999999999</v>
      </c>
      <c r="J1200" s="55">
        <f t="shared" si="34"/>
        <v>27</v>
      </c>
    </row>
    <row r="1201" spans="1:10" ht="18.75" x14ac:dyDescent="0.3">
      <c r="A1201" s="8" t="s">
        <v>1306</v>
      </c>
      <c r="B1201" s="9" t="s">
        <v>1307</v>
      </c>
      <c r="C1201" s="9" t="s">
        <v>1281</v>
      </c>
      <c r="F1201" s="10"/>
      <c r="G1201" s="9"/>
      <c r="H1201" s="10">
        <v>30.1</v>
      </c>
      <c r="I1201" s="12">
        <f>H1201*(1-'[1]Discounts page'!D$21)</f>
        <v>18.059999999999999</v>
      </c>
      <c r="J1201" s="55">
        <f t="shared" si="34"/>
        <v>28</v>
      </c>
    </row>
    <row r="1202" spans="1:10" ht="18.75" x14ac:dyDescent="0.3">
      <c r="A1202" s="8" t="s">
        <v>1308</v>
      </c>
      <c r="B1202" s="9" t="s">
        <v>1309</v>
      </c>
      <c r="C1202" s="9" t="s">
        <v>1281</v>
      </c>
      <c r="F1202" s="10"/>
      <c r="G1202" s="9"/>
      <c r="H1202" s="10">
        <v>30.1</v>
      </c>
      <c r="I1202" s="12">
        <f>H1202*(1-'[1]Discounts page'!D$21)</f>
        <v>18.059999999999999</v>
      </c>
      <c r="J1202" s="55">
        <f t="shared" si="34"/>
        <v>28</v>
      </c>
    </row>
    <row r="1203" spans="1:10" ht="18.75" x14ac:dyDescent="0.3">
      <c r="A1203" s="8" t="s">
        <v>1310</v>
      </c>
      <c r="B1203" s="9" t="s">
        <v>1311</v>
      </c>
      <c r="C1203" s="9" t="s">
        <v>1281</v>
      </c>
      <c r="F1203" s="10"/>
      <c r="G1203" s="9"/>
      <c r="H1203" s="10">
        <v>31.6</v>
      </c>
      <c r="I1203" s="12">
        <f>H1203*(1-'[1]Discounts page'!D$21)</f>
        <v>18.96</v>
      </c>
      <c r="J1203" s="55">
        <f t="shared" si="34"/>
        <v>29</v>
      </c>
    </row>
    <row r="1204" spans="1:10" ht="18.75" x14ac:dyDescent="0.3">
      <c r="A1204" s="8" t="s">
        <v>1312</v>
      </c>
      <c r="B1204" s="9" t="s">
        <v>1313</v>
      </c>
      <c r="C1204" s="9" t="s">
        <v>1281</v>
      </c>
      <c r="F1204" s="10"/>
      <c r="G1204" s="9"/>
      <c r="H1204" s="10">
        <v>31.6</v>
      </c>
      <c r="I1204" s="12">
        <f>H1204*(1-'[1]Discounts page'!D$21)</f>
        <v>18.96</v>
      </c>
      <c r="J1204" s="55">
        <f t="shared" si="34"/>
        <v>29</v>
      </c>
    </row>
    <row r="1205" spans="1:10" ht="18.75" x14ac:dyDescent="0.3">
      <c r="A1205" s="8" t="s">
        <v>1314</v>
      </c>
      <c r="B1205" s="9" t="s">
        <v>1315</v>
      </c>
      <c r="C1205" s="9" t="s">
        <v>1281</v>
      </c>
      <c r="F1205" s="10"/>
      <c r="G1205" s="9"/>
      <c r="H1205" s="10">
        <v>33.1</v>
      </c>
      <c r="I1205" s="12">
        <f>H1205*(1-'[1]Discounts page'!D$21)</f>
        <v>19.86</v>
      </c>
      <c r="J1205" s="55">
        <f t="shared" si="34"/>
        <v>30</v>
      </c>
    </row>
    <row r="1206" spans="1:10" ht="18.75" x14ac:dyDescent="0.3">
      <c r="A1206" s="8" t="s">
        <v>1316</v>
      </c>
      <c r="B1206" s="9" t="s">
        <v>1317</v>
      </c>
      <c r="C1206" s="9" t="s">
        <v>1281</v>
      </c>
      <c r="F1206" s="10"/>
      <c r="G1206" s="9"/>
      <c r="H1206" s="10">
        <v>33.1</v>
      </c>
      <c r="I1206" s="12">
        <f>H1206*(1-'[1]Discounts page'!D$21)</f>
        <v>19.86</v>
      </c>
      <c r="J1206" s="55">
        <f t="shared" si="34"/>
        <v>30</v>
      </c>
    </row>
    <row r="1207" spans="1:10" ht="18.75" x14ac:dyDescent="0.3">
      <c r="A1207" s="8" t="s">
        <v>1318</v>
      </c>
      <c r="B1207" s="9" t="s">
        <v>1319</v>
      </c>
      <c r="C1207" s="9" t="s">
        <v>1281</v>
      </c>
      <c r="F1207" s="10"/>
      <c r="G1207" s="9"/>
      <c r="H1207" s="10">
        <v>34.200000000000003</v>
      </c>
      <c r="I1207" s="12">
        <f>H1207*(1-'[1]Discounts page'!D$21)</f>
        <v>20.52</v>
      </c>
      <c r="J1207" s="55">
        <f t="shared" si="34"/>
        <v>31</v>
      </c>
    </row>
    <row r="1208" spans="1:10" ht="18.75" x14ac:dyDescent="0.3">
      <c r="A1208" s="8" t="s">
        <v>1320</v>
      </c>
      <c r="B1208" s="9" t="s">
        <v>1321</v>
      </c>
      <c r="C1208" s="9" t="s">
        <v>1281</v>
      </c>
      <c r="F1208" s="10"/>
      <c r="G1208" s="9"/>
      <c r="H1208" s="10">
        <v>34.200000000000003</v>
      </c>
      <c r="I1208" s="12">
        <f>H1208*(1-'[1]Discounts page'!D$21)</f>
        <v>20.52</v>
      </c>
      <c r="J1208" s="55">
        <f t="shared" si="34"/>
        <v>31</v>
      </c>
    </row>
    <row r="1209" spans="1:10" ht="18.75" x14ac:dyDescent="0.3">
      <c r="A1209" s="8" t="s">
        <v>1322</v>
      </c>
      <c r="B1209" s="9" t="s">
        <v>1323</v>
      </c>
      <c r="C1209" s="9" t="s">
        <v>1281</v>
      </c>
      <c r="F1209" s="10"/>
      <c r="G1209" s="9"/>
      <c r="H1209" s="10">
        <v>35.1</v>
      </c>
      <c r="I1209" s="12">
        <f>H1209*(1-'[1]Discounts page'!D$21)</f>
        <v>21.06</v>
      </c>
      <c r="J1209" s="55">
        <f t="shared" ref="J1209:J1272" si="35">ROUNDUP(I1209*1.5,0)</f>
        <v>32</v>
      </c>
    </row>
    <row r="1210" spans="1:10" ht="18.75" x14ac:dyDescent="0.3">
      <c r="A1210" s="8" t="s">
        <v>1324</v>
      </c>
      <c r="B1210" s="9" t="s">
        <v>1325</v>
      </c>
      <c r="C1210" s="9" t="s">
        <v>1281</v>
      </c>
      <c r="F1210" s="10"/>
      <c r="G1210" s="9"/>
      <c r="H1210" s="10">
        <v>35.1</v>
      </c>
      <c r="I1210" s="12">
        <f>H1210*(1-'[1]Discounts page'!D$21)</f>
        <v>21.06</v>
      </c>
      <c r="J1210" s="55">
        <f t="shared" si="35"/>
        <v>32</v>
      </c>
    </row>
    <row r="1211" spans="1:10" ht="18.75" x14ac:dyDescent="0.3">
      <c r="A1211" s="8" t="s">
        <v>1326</v>
      </c>
      <c r="B1211" s="9" t="s">
        <v>1327</v>
      </c>
      <c r="C1211" s="9" t="s">
        <v>1281</v>
      </c>
      <c r="F1211" s="10"/>
      <c r="G1211" s="9"/>
      <c r="H1211" s="10">
        <v>35.5</v>
      </c>
      <c r="I1211" s="12">
        <f>H1211*(1-'[1]Discounts page'!D$21)</f>
        <v>21.3</v>
      </c>
      <c r="J1211" s="55">
        <f t="shared" si="35"/>
        <v>32</v>
      </c>
    </row>
    <row r="1212" spans="1:10" ht="18.75" x14ac:dyDescent="0.3">
      <c r="A1212" s="8" t="s">
        <v>1328</v>
      </c>
      <c r="B1212" s="9" t="s">
        <v>1329</v>
      </c>
      <c r="C1212" s="9" t="s">
        <v>1281</v>
      </c>
      <c r="F1212" s="10"/>
      <c r="G1212" s="9"/>
      <c r="H1212" s="10">
        <v>35.6</v>
      </c>
      <c r="I1212" s="12">
        <f>H1212*(1-'[1]Discounts page'!D$21)</f>
        <v>21.36</v>
      </c>
      <c r="J1212" s="55">
        <f t="shared" si="35"/>
        <v>33</v>
      </c>
    </row>
    <row r="1213" spans="1:10" ht="18.75" x14ac:dyDescent="0.3">
      <c r="A1213" s="8" t="s">
        <v>1330</v>
      </c>
      <c r="B1213" s="9" t="s">
        <v>1331</v>
      </c>
      <c r="C1213" s="9" t="s">
        <v>1281</v>
      </c>
      <c r="F1213" s="10"/>
      <c r="G1213" s="9"/>
      <c r="H1213" s="10">
        <v>36.1</v>
      </c>
      <c r="I1213" s="12">
        <f>H1213*(1-'[1]Discounts page'!D$21)</f>
        <v>21.66</v>
      </c>
      <c r="J1213" s="55">
        <f t="shared" si="35"/>
        <v>33</v>
      </c>
    </row>
    <row r="1214" spans="1:10" ht="18.75" x14ac:dyDescent="0.3">
      <c r="A1214" s="8" t="s">
        <v>1332</v>
      </c>
      <c r="B1214" s="9" t="s">
        <v>1333</v>
      </c>
      <c r="C1214" s="9" t="s">
        <v>1281</v>
      </c>
      <c r="F1214" s="10"/>
      <c r="G1214" s="9"/>
      <c r="H1214" s="10">
        <v>37.200000000000003</v>
      </c>
      <c r="I1214" s="12">
        <f>H1214*(1-'[1]Discounts page'!D$21)</f>
        <v>22.32</v>
      </c>
      <c r="J1214" s="55">
        <f t="shared" si="35"/>
        <v>34</v>
      </c>
    </row>
    <row r="1215" spans="1:10" ht="18.75" x14ac:dyDescent="0.3">
      <c r="A1215" s="8" t="s">
        <v>1334</v>
      </c>
      <c r="B1215" s="9" t="s">
        <v>1335</v>
      </c>
      <c r="C1215" s="9" t="s">
        <v>1281</v>
      </c>
      <c r="F1215" s="10"/>
      <c r="G1215" s="9"/>
      <c r="H1215" s="10">
        <v>40.6</v>
      </c>
      <c r="I1215" s="12">
        <f>H1215*(1-'[1]Discounts page'!D$21)</f>
        <v>24.36</v>
      </c>
      <c r="J1215" s="55">
        <f t="shared" si="35"/>
        <v>37</v>
      </c>
    </row>
    <row r="1216" spans="1:10" ht="18.75" x14ac:dyDescent="0.3">
      <c r="A1216" s="8" t="s">
        <v>1336</v>
      </c>
      <c r="B1216" s="9" t="s">
        <v>1337</v>
      </c>
      <c r="C1216" s="9" t="s">
        <v>1281</v>
      </c>
      <c r="F1216" s="10"/>
      <c r="G1216" s="9"/>
      <c r="H1216" s="10">
        <v>40.6</v>
      </c>
      <c r="I1216" s="12">
        <f>H1216*(1-'[1]Discounts page'!D$21)</f>
        <v>24.36</v>
      </c>
      <c r="J1216" s="55">
        <f t="shared" si="35"/>
        <v>37</v>
      </c>
    </row>
    <row r="1217" spans="1:10" ht="18.75" x14ac:dyDescent="0.3">
      <c r="A1217" s="8" t="s">
        <v>1338</v>
      </c>
      <c r="B1217" s="9" t="s">
        <v>1339</v>
      </c>
      <c r="C1217" s="9" t="s">
        <v>1281</v>
      </c>
      <c r="F1217" s="10"/>
      <c r="G1217" s="9"/>
      <c r="H1217" s="10">
        <v>40.800000000000004</v>
      </c>
      <c r="I1217" s="12">
        <f>H1217*(1-'[1]Discounts page'!D$21)</f>
        <v>24.48</v>
      </c>
      <c r="J1217" s="55">
        <f t="shared" si="35"/>
        <v>37</v>
      </c>
    </row>
    <row r="1218" spans="1:10" ht="18.75" x14ac:dyDescent="0.3">
      <c r="A1218" s="8" t="s">
        <v>1340</v>
      </c>
      <c r="B1218" s="9" t="s">
        <v>1341</v>
      </c>
      <c r="C1218" s="9" t="s">
        <v>1281</v>
      </c>
      <c r="F1218" s="10"/>
      <c r="G1218" s="9"/>
      <c r="H1218" s="10">
        <v>41.7</v>
      </c>
      <c r="I1218" s="12">
        <f>H1218*(1-'[1]Discounts page'!D$21)</f>
        <v>25.02</v>
      </c>
      <c r="J1218" s="55">
        <f t="shared" si="35"/>
        <v>38</v>
      </c>
    </row>
    <row r="1219" spans="1:10" ht="18.75" x14ac:dyDescent="0.3">
      <c r="A1219" s="8" t="s">
        <v>1342</v>
      </c>
      <c r="B1219" s="9" t="s">
        <v>1343</v>
      </c>
      <c r="C1219" s="9" t="s">
        <v>1281</v>
      </c>
      <c r="F1219" s="10"/>
      <c r="G1219" s="9"/>
      <c r="H1219" s="10">
        <v>42</v>
      </c>
      <c r="I1219" s="12">
        <f>H1219*(1-'[1]Discounts page'!D$21)</f>
        <v>25.2</v>
      </c>
      <c r="J1219" s="55">
        <f t="shared" si="35"/>
        <v>38</v>
      </c>
    </row>
    <row r="1220" spans="1:10" ht="18.75" x14ac:dyDescent="0.3">
      <c r="A1220" s="8" t="s">
        <v>1344</v>
      </c>
      <c r="B1220" s="9" t="s">
        <v>1345</v>
      </c>
      <c r="C1220" s="9" t="s">
        <v>1281</v>
      </c>
      <c r="F1220" s="10"/>
      <c r="G1220" s="9"/>
      <c r="H1220" s="10">
        <v>42</v>
      </c>
      <c r="I1220" s="12">
        <f>H1220*(1-'[1]Discounts page'!D$21)</f>
        <v>25.2</v>
      </c>
      <c r="J1220" s="55">
        <f t="shared" si="35"/>
        <v>38</v>
      </c>
    </row>
    <row r="1221" spans="1:10" ht="18.75" x14ac:dyDescent="0.3">
      <c r="A1221" s="8" t="s">
        <v>1346</v>
      </c>
      <c r="B1221" s="9" t="s">
        <v>1347</v>
      </c>
      <c r="C1221" s="9" t="s">
        <v>1281</v>
      </c>
      <c r="F1221" s="10"/>
      <c r="G1221" s="9"/>
      <c r="H1221" s="10">
        <v>42</v>
      </c>
      <c r="I1221" s="12">
        <f>H1221*(1-'[1]Discounts page'!D$21)</f>
        <v>25.2</v>
      </c>
      <c r="J1221" s="55">
        <f t="shared" si="35"/>
        <v>38</v>
      </c>
    </row>
    <row r="1222" spans="1:10" ht="18.75" x14ac:dyDescent="0.3">
      <c r="A1222" s="8" t="s">
        <v>1348</v>
      </c>
      <c r="B1222" s="9" t="s">
        <v>1349</v>
      </c>
      <c r="C1222" s="9" t="s">
        <v>1281</v>
      </c>
      <c r="F1222" s="10"/>
      <c r="G1222" s="9"/>
      <c r="H1222" s="10">
        <v>42.5</v>
      </c>
      <c r="I1222" s="12">
        <f>H1222*(1-'[1]Discounts page'!D$21)</f>
        <v>25.5</v>
      </c>
      <c r="J1222" s="55">
        <f t="shared" si="35"/>
        <v>39</v>
      </c>
    </row>
    <row r="1223" spans="1:10" ht="18.75" x14ac:dyDescent="0.3">
      <c r="A1223" s="8" t="s">
        <v>1350</v>
      </c>
      <c r="B1223" s="9" t="s">
        <v>1351</v>
      </c>
      <c r="C1223" s="9" t="s">
        <v>1281</v>
      </c>
      <c r="F1223" s="10"/>
      <c r="G1223" s="9"/>
      <c r="H1223" s="10">
        <v>43.5</v>
      </c>
      <c r="I1223" s="12">
        <f>H1223*(1-'[1]Discounts page'!D$21)</f>
        <v>26.099999999999998</v>
      </c>
      <c r="J1223" s="55">
        <f t="shared" si="35"/>
        <v>40</v>
      </c>
    </row>
    <row r="1224" spans="1:10" ht="18.75" x14ac:dyDescent="0.3">
      <c r="A1224" s="8" t="s">
        <v>1352</v>
      </c>
      <c r="B1224" s="9" t="s">
        <v>1353</v>
      </c>
      <c r="C1224" s="9" t="s">
        <v>1281</v>
      </c>
      <c r="F1224" s="10"/>
      <c r="G1224" s="9"/>
      <c r="H1224" s="10">
        <v>45.9</v>
      </c>
      <c r="I1224" s="12">
        <f>H1224*(1-'[1]Discounts page'!D$21)</f>
        <v>27.54</v>
      </c>
      <c r="J1224" s="55">
        <f t="shared" si="35"/>
        <v>42</v>
      </c>
    </row>
    <row r="1225" spans="1:10" ht="18.75" x14ac:dyDescent="0.3">
      <c r="A1225" s="8" t="s">
        <v>1354</v>
      </c>
      <c r="B1225" s="9" t="s">
        <v>1355</v>
      </c>
      <c r="C1225" s="9" t="s">
        <v>1281</v>
      </c>
      <c r="F1225" s="10"/>
      <c r="G1225" s="9"/>
      <c r="H1225" s="10">
        <v>48.300000000000004</v>
      </c>
      <c r="I1225" s="12">
        <f>H1225*(1-'[1]Discounts page'!D$21)</f>
        <v>28.98</v>
      </c>
      <c r="J1225" s="55">
        <f t="shared" si="35"/>
        <v>44</v>
      </c>
    </row>
    <row r="1226" spans="1:10" ht="18.75" x14ac:dyDescent="0.3">
      <c r="A1226" s="8" t="s">
        <v>1356</v>
      </c>
      <c r="B1226" s="9" t="s">
        <v>1357</v>
      </c>
      <c r="C1226" s="9" t="s">
        <v>1281</v>
      </c>
      <c r="F1226" s="10"/>
      <c r="G1226" s="9"/>
      <c r="H1226" s="10">
        <v>49.7</v>
      </c>
      <c r="I1226" s="12">
        <f>H1226*(1-'[1]Discounts page'!D$21)</f>
        <v>29.82</v>
      </c>
      <c r="J1226" s="55">
        <f t="shared" si="35"/>
        <v>45</v>
      </c>
    </row>
    <row r="1227" spans="1:10" ht="18.75" x14ac:dyDescent="0.3">
      <c r="A1227" s="8" t="s">
        <v>1358</v>
      </c>
      <c r="B1227" s="9" t="s">
        <v>1359</v>
      </c>
      <c r="C1227" s="9" t="s">
        <v>1281</v>
      </c>
      <c r="F1227" s="10"/>
      <c r="G1227" s="9"/>
      <c r="H1227" s="10">
        <v>52</v>
      </c>
      <c r="I1227" s="12">
        <f>H1227*(1-'[1]Discounts page'!D$21)</f>
        <v>31.2</v>
      </c>
      <c r="J1227" s="55">
        <f t="shared" si="35"/>
        <v>47</v>
      </c>
    </row>
    <row r="1228" spans="1:10" ht="18.75" x14ac:dyDescent="0.3">
      <c r="A1228" s="8" t="s">
        <v>1360</v>
      </c>
      <c r="B1228" s="9" t="s">
        <v>1361</v>
      </c>
      <c r="C1228" s="9" t="s">
        <v>1281</v>
      </c>
      <c r="F1228" s="10"/>
      <c r="G1228" s="9"/>
      <c r="H1228" s="10">
        <v>53.800000000000004</v>
      </c>
      <c r="I1228" s="12">
        <f>H1228*(1-'[1]Discounts page'!D$21)</f>
        <v>32.28</v>
      </c>
      <c r="J1228" s="55">
        <f t="shared" si="35"/>
        <v>49</v>
      </c>
    </row>
    <row r="1229" spans="1:10" ht="18.75" x14ac:dyDescent="0.3">
      <c r="A1229" s="8" t="s">
        <v>1362</v>
      </c>
      <c r="B1229" s="9" t="s">
        <v>1363</v>
      </c>
      <c r="C1229" s="9" t="s">
        <v>1281</v>
      </c>
      <c r="F1229" s="10"/>
      <c r="G1229" s="9"/>
      <c r="H1229" s="10">
        <v>56.6</v>
      </c>
      <c r="I1229" s="12">
        <f>H1229*(1-'[1]Discounts page'!D$21)</f>
        <v>33.96</v>
      </c>
      <c r="J1229" s="55">
        <f t="shared" si="35"/>
        <v>51</v>
      </c>
    </row>
    <row r="1230" spans="1:10" ht="18.75" x14ac:dyDescent="0.3">
      <c r="A1230" s="8" t="s">
        <v>1364</v>
      </c>
      <c r="B1230" s="9" t="s">
        <v>1365</v>
      </c>
      <c r="C1230" s="9" t="s">
        <v>1281</v>
      </c>
      <c r="F1230" s="10"/>
      <c r="G1230" s="9"/>
      <c r="H1230" s="10">
        <v>57.9</v>
      </c>
      <c r="I1230" s="12">
        <f>H1230*(1-'[1]Discounts page'!D$21)</f>
        <v>34.739999999999995</v>
      </c>
      <c r="J1230" s="55">
        <f t="shared" si="35"/>
        <v>53</v>
      </c>
    </row>
    <row r="1231" spans="1:10" ht="18.75" x14ac:dyDescent="0.3">
      <c r="A1231" s="8" t="s">
        <v>1366</v>
      </c>
      <c r="B1231" s="9" t="s">
        <v>1367</v>
      </c>
      <c r="C1231" s="9" t="s">
        <v>1281</v>
      </c>
      <c r="F1231" s="10"/>
      <c r="G1231" s="9"/>
      <c r="H1231" s="10">
        <v>60.2</v>
      </c>
      <c r="I1231" s="12">
        <f>H1231*(1-'[1]Discounts page'!D$21)</f>
        <v>36.119999999999997</v>
      </c>
      <c r="J1231" s="55">
        <f t="shared" si="35"/>
        <v>55</v>
      </c>
    </row>
    <row r="1232" spans="1:10" ht="18.75" x14ac:dyDescent="0.3">
      <c r="A1232" s="8" t="s">
        <v>1368</v>
      </c>
      <c r="B1232" s="9" t="s">
        <v>1369</v>
      </c>
      <c r="C1232" s="9" t="s">
        <v>1281</v>
      </c>
      <c r="F1232" s="10"/>
      <c r="G1232" s="9"/>
      <c r="H1232" s="10">
        <v>66.099999999999994</v>
      </c>
      <c r="I1232" s="12">
        <f>H1232*(1-'[1]Discounts page'!D$21)</f>
        <v>39.659999999999997</v>
      </c>
      <c r="J1232" s="55">
        <f t="shared" si="35"/>
        <v>60</v>
      </c>
    </row>
    <row r="1233" spans="1:10" ht="18.75" x14ac:dyDescent="0.3">
      <c r="A1233" s="8" t="s">
        <v>1370</v>
      </c>
      <c r="B1233" s="9" t="s">
        <v>1371</v>
      </c>
      <c r="C1233" s="9" t="s">
        <v>1281</v>
      </c>
      <c r="F1233" s="10"/>
      <c r="G1233" s="9"/>
      <c r="H1233" s="10">
        <v>75.899999999999991</v>
      </c>
      <c r="I1233" s="12">
        <f>H1233*(1-'[1]Discounts page'!D$21)</f>
        <v>45.539999999999992</v>
      </c>
      <c r="J1233" s="55">
        <f t="shared" si="35"/>
        <v>69</v>
      </c>
    </row>
    <row r="1234" spans="1:10" ht="18.75" x14ac:dyDescent="0.3">
      <c r="A1234" s="8" t="s">
        <v>1372</v>
      </c>
      <c r="B1234" s="9" t="s">
        <v>1373</v>
      </c>
      <c r="C1234" s="9" t="s">
        <v>1281</v>
      </c>
      <c r="F1234" s="10"/>
      <c r="G1234" s="9"/>
      <c r="H1234" s="10">
        <v>81.5</v>
      </c>
      <c r="I1234" s="12">
        <f>H1234*(1-'[1]Discounts page'!D$21)</f>
        <v>48.9</v>
      </c>
      <c r="J1234" s="55">
        <f t="shared" si="35"/>
        <v>74</v>
      </c>
    </row>
    <row r="1235" spans="1:10" ht="18.75" x14ac:dyDescent="0.3">
      <c r="A1235" s="8" t="s">
        <v>1374</v>
      </c>
      <c r="B1235" s="9" t="s">
        <v>1375</v>
      </c>
      <c r="C1235" s="9" t="s">
        <v>1281</v>
      </c>
      <c r="F1235" s="10"/>
      <c r="G1235" s="9"/>
      <c r="H1235" s="10">
        <v>86.199999999999989</v>
      </c>
      <c r="I1235" s="12">
        <f>H1235*(1-'[1]Discounts page'!D$21)</f>
        <v>51.719999999999992</v>
      </c>
      <c r="J1235" s="55">
        <f t="shared" si="35"/>
        <v>78</v>
      </c>
    </row>
    <row r="1236" spans="1:10" ht="18.75" x14ac:dyDescent="0.3">
      <c r="A1236" s="8" t="s">
        <v>1376</v>
      </c>
      <c r="B1236" s="9" t="s">
        <v>1377</v>
      </c>
      <c r="C1236" s="9" t="s">
        <v>1281</v>
      </c>
      <c r="F1236" s="10"/>
      <c r="G1236" s="9"/>
      <c r="H1236" s="10">
        <v>96.1</v>
      </c>
      <c r="I1236" s="12">
        <f>H1236*(1-'[1]Discounts page'!D$21)</f>
        <v>57.66</v>
      </c>
      <c r="J1236" s="55">
        <f t="shared" si="35"/>
        <v>87</v>
      </c>
    </row>
    <row r="1237" spans="1:10" ht="18.75" x14ac:dyDescent="0.3">
      <c r="A1237" s="8" t="s">
        <v>1378</v>
      </c>
      <c r="B1237" s="9" t="s">
        <v>1379</v>
      </c>
      <c r="C1237" s="9" t="s">
        <v>1281</v>
      </c>
      <c r="F1237" s="10"/>
      <c r="G1237" s="9"/>
      <c r="H1237" s="10">
        <v>104.5</v>
      </c>
      <c r="I1237" s="12">
        <f>H1237*(1-'[1]Discounts page'!D$21)</f>
        <v>62.699999999999996</v>
      </c>
      <c r="J1237" s="55">
        <f t="shared" si="35"/>
        <v>95</v>
      </c>
    </row>
    <row r="1238" spans="1:10" ht="18.75" x14ac:dyDescent="0.3">
      <c r="A1238" s="8" t="s">
        <v>1380</v>
      </c>
      <c r="B1238" s="9" t="s">
        <v>1381</v>
      </c>
      <c r="C1238" s="9" t="s">
        <v>1281</v>
      </c>
      <c r="F1238" s="10"/>
      <c r="G1238" s="9"/>
      <c r="H1238" s="10">
        <v>113.89999999999999</v>
      </c>
      <c r="I1238" s="12">
        <f>H1238*(1-'[1]Discounts page'!D$21)</f>
        <v>68.339999999999989</v>
      </c>
      <c r="J1238" s="55">
        <f t="shared" si="35"/>
        <v>103</v>
      </c>
    </row>
    <row r="1239" spans="1:10" ht="18.75" x14ac:dyDescent="0.3">
      <c r="A1239" s="8" t="s">
        <v>1382</v>
      </c>
      <c r="B1239" s="9" t="s">
        <v>1383</v>
      </c>
      <c r="C1239" s="9" t="s">
        <v>1281</v>
      </c>
      <c r="F1239" s="10"/>
      <c r="G1239" s="9"/>
      <c r="H1239" s="10">
        <v>119.8</v>
      </c>
      <c r="I1239" s="12">
        <f>H1239*(1-'[1]Discounts page'!D$21)</f>
        <v>71.88</v>
      </c>
      <c r="J1239" s="55">
        <f t="shared" si="35"/>
        <v>108</v>
      </c>
    </row>
    <row r="1240" spans="1:10" ht="18.75" x14ac:dyDescent="0.3">
      <c r="A1240" s="8" t="s">
        <v>1384</v>
      </c>
      <c r="B1240" s="9" t="s">
        <v>1385</v>
      </c>
      <c r="C1240" s="9" t="s">
        <v>1281</v>
      </c>
      <c r="F1240" s="10"/>
      <c r="G1240" s="9"/>
      <c r="H1240" s="10">
        <v>127.89999999999999</v>
      </c>
      <c r="I1240" s="12">
        <f>H1240*(1-'[1]Discounts page'!D$21)</f>
        <v>76.739999999999995</v>
      </c>
      <c r="J1240" s="55">
        <f t="shared" si="35"/>
        <v>116</v>
      </c>
    </row>
    <row r="1241" spans="1:10" ht="18.75" x14ac:dyDescent="0.3">
      <c r="A1241" s="8" t="s">
        <v>1386</v>
      </c>
      <c r="B1241" s="9" t="s">
        <v>1387</v>
      </c>
      <c r="C1241" s="9" t="s">
        <v>1281</v>
      </c>
      <c r="F1241" s="10"/>
      <c r="G1241" s="9"/>
      <c r="H1241" s="10">
        <v>142.79999999999998</v>
      </c>
      <c r="I1241" s="12">
        <f>H1241*(1-'[1]Discounts page'!D$21)</f>
        <v>85.679999999999993</v>
      </c>
      <c r="J1241" s="55">
        <f t="shared" si="35"/>
        <v>129</v>
      </c>
    </row>
    <row r="1242" spans="1:10" ht="18.75" x14ac:dyDescent="0.3">
      <c r="A1242" s="8" t="s">
        <v>1388</v>
      </c>
      <c r="B1242" s="9" t="s">
        <v>1389</v>
      </c>
      <c r="C1242" s="9" t="s">
        <v>1281</v>
      </c>
      <c r="F1242" s="10"/>
      <c r="G1242" s="9"/>
      <c r="H1242" s="10">
        <v>151.29999999999998</v>
      </c>
      <c r="I1242" s="12">
        <f>H1242*(1-'[1]Discounts page'!D$21)</f>
        <v>90.779999999999987</v>
      </c>
      <c r="J1242" s="55">
        <f t="shared" si="35"/>
        <v>137</v>
      </c>
    </row>
    <row r="1243" spans="1:10" ht="18.75" x14ac:dyDescent="0.3">
      <c r="A1243" s="8" t="s">
        <v>1390</v>
      </c>
      <c r="B1243" s="9" t="s">
        <v>1391</v>
      </c>
      <c r="C1243" s="9" t="s">
        <v>1281</v>
      </c>
      <c r="F1243" s="10"/>
      <c r="G1243" s="9"/>
      <c r="H1243" s="10">
        <v>158.29999999999998</v>
      </c>
      <c r="I1243" s="12">
        <f>H1243*(1-'[1]Discounts page'!D$21)</f>
        <v>94.97999999999999</v>
      </c>
      <c r="J1243" s="55">
        <f t="shared" si="35"/>
        <v>143</v>
      </c>
    </row>
    <row r="1244" spans="1:10" ht="18.75" x14ac:dyDescent="0.3">
      <c r="A1244" s="8" t="s">
        <v>1392</v>
      </c>
      <c r="B1244" s="9" t="s">
        <v>1393</v>
      </c>
      <c r="C1244" s="9" t="s">
        <v>1281</v>
      </c>
      <c r="F1244" s="10"/>
      <c r="G1244" s="9"/>
      <c r="H1244" s="10">
        <v>172.7</v>
      </c>
      <c r="I1244" s="12">
        <f>H1244*(1-'[1]Discounts page'!D$21)</f>
        <v>103.61999999999999</v>
      </c>
      <c r="J1244" s="55">
        <f t="shared" si="35"/>
        <v>156</v>
      </c>
    </row>
    <row r="1245" spans="1:10" ht="18.75" x14ac:dyDescent="0.3">
      <c r="A1245" s="20" t="s">
        <v>1394</v>
      </c>
      <c r="B1245" s="9"/>
      <c r="C1245" s="9"/>
      <c r="F1245" s="10"/>
      <c r="G1245" s="9"/>
      <c r="H1245" s="10"/>
      <c r="I1245" s="12"/>
      <c r="J1245" s="55">
        <f t="shared" si="35"/>
        <v>0</v>
      </c>
    </row>
    <row r="1246" spans="1:10" ht="18.75" x14ac:dyDescent="0.3">
      <c r="A1246" s="8" t="s">
        <v>1395</v>
      </c>
      <c r="B1246" s="9" t="s">
        <v>1396</v>
      </c>
      <c r="C1246" s="9" t="s">
        <v>1281</v>
      </c>
      <c r="F1246" s="10"/>
      <c r="G1246" s="9"/>
      <c r="H1246" s="10">
        <v>24.2</v>
      </c>
      <c r="I1246" s="12">
        <f>H1246*(1-'[1]Discounts page'!D$21)</f>
        <v>14.52</v>
      </c>
      <c r="J1246" s="55">
        <f t="shared" si="35"/>
        <v>22</v>
      </c>
    </row>
    <row r="1247" spans="1:10" ht="18.75" x14ac:dyDescent="0.3">
      <c r="A1247" s="8" t="s">
        <v>1397</v>
      </c>
      <c r="B1247" s="9" t="s">
        <v>1398</v>
      </c>
      <c r="C1247" s="9" t="s">
        <v>1281</v>
      </c>
      <c r="F1247" s="10"/>
      <c r="G1247" s="9"/>
      <c r="H1247" s="10">
        <v>24.2</v>
      </c>
      <c r="I1247" s="12">
        <f>H1247*(1-'[1]Discounts page'!D$21)</f>
        <v>14.52</v>
      </c>
      <c r="J1247" s="55">
        <f t="shared" si="35"/>
        <v>22</v>
      </c>
    </row>
    <row r="1248" spans="1:10" ht="18.75" x14ac:dyDescent="0.3">
      <c r="A1248" s="8" t="s">
        <v>1399</v>
      </c>
      <c r="B1248" s="9" t="s">
        <v>1400</v>
      </c>
      <c r="C1248" s="9" t="s">
        <v>1281</v>
      </c>
      <c r="F1248" s="10"/>
      <c r="G1248" s="9"/>
      <c r="H1248" s="10">
        <v>24.5</v>
      </c>
      <c r="I1248" s="12">
        <f>H1248*(1-'[1]Discounts page'!D$21)</f>
        <v>14.7</v>
      </c>
      <c r="J1248" s="55">
        <f t="shared" si="35"/>
        <v>23</v>
      </c>
    </row>
    <row r="1249" spans="1:10" ht="18.75" x14ac:dyDescent="0.3">
      <c r="A1249" s="8" t="s">
        <v>1401</v>
      </c>
      <c r="B1249" s="9" t="s">
        <v>1402</v>
      </c>
      <c r="C1249" s="9" t="s">
        <v>1281</v>
      </c>
      <c r="F1249" s="10"/>
      <c r="G1249" s="9"/>
      <c r="H1249" s="10">
        <v>24.900000000000002</v>
      </c>
      <c r="I1249" s="12">
        <f>H1249*(1-'[1]Discounts page'!D$21)</f>
        <v>14.940000000000001</v>
      </c>
      <c r="J1249" s="55">
        <f t="shared" si="35"/>
        <v>23</v>
      </c>
    </row>
    <row r="1250" spans="1:10" ht="18.75" x14ac:dyDescent="0.3">
      <c r="A1250" s="8" t="s">
        <v>1403</v>
      </c>
      <c r="B1250" s="9" t="s">
        <v>1404</v>
      </c>
      <c r="C1250" s="9" t="s">
        <v>1281</v>
      </c>
      <c r="F1250" s="10"/>
      <c r="G1250" s="9"/>
      <c r="H1250" s="10">
        <v>24.900000000000002</v>
      </c>
      <c r="I1250" s="12">
        <f>H1250*(1-'[1]Discounts page'!D$21)</f>
        <v>14.940000000000001</v>
      </c>
      <c r="J1250" s="55">
        <f t="shared" si="35"/>
        <v>23</v>
      </c>
    </row>
    <row r="1251" spans="1:10" ht="18.75" x14ac:dyDescent="0.3">
      <c r="A1251" s="8" t="s">
        <v>1405</v>
      </c>
      <c r="B1251" s="9" t="s">
        <v>1406</v>
      </c>
      <c r="C1251" s="9" t="s">
        <v>1281</v>
      </c>
      <c r="F1251" s="10"/>
      <c r="G1251" s="9"/>
      <c r="H1251" s="10">
        <v>25.8</v>
      </c>
      <c r="I1251" s="12">
        <f>H1251*(1-'[1]Discounts page'!D$21)</f>
        <v>15.48</v>
      </c>
      <c r="J1251" s="55">
        <f t="shared" si="35"/>
        <v>24</v>
      </c>
    </row>
    <row r="1252" spans="1:10" ht="18.75" x14ac:dyDescent="0.3">
      <c r="A1252" s="8" t="s">
        <v>1407</v>
      </c>
      <c r="B1252" s="9" t="s">
        <v>1408</v>
      </c>
      <c r="C1252" s="9" t="s">
        <v>1281</v>
      </c>
      <c r="F1252" s="10"/>
      <c r="G1252" s="9"/>
      <c r="H1252" s="10">
        <v>25.8</v>
      </c>
      <c r="I1252" s="12">
        <f>H1252*(1-'[1]Discounts page'!D$21)</f>
        <v>15.48</v>
      </c>
      <c r="J1252" s="55">
        <f t="shared" si="35"/>
        <v>24</v>
      </c>
    </row>
    <row r="1253" spans="1:10" ht="18.75" x14ac:dyDescent="0.3">
      <c r="A1253" s="8" t="s">
        <v>1409</v>
      </c>
      <c r="B1253" s="9" t="s">
        <v>1410</v>
      </c>
      <c r="C1253" s="9" t="s">
        <v>1281</v>
      </c>
      <c r="F1253" s="10"/>
      <c r="G1253" s="9"/>
      <c r="H1253" s="10">
        <v>26.400000000000002</v>
      </c>
      <c r="I1253" s="12">
        <f>H1253*(1-'[1]Discounts page'!D$21)</f>
        <v>15.84</v>
      </c>
      <c r="J1253" s="55">
        <f t="shared" si="35"/>
        <v>24</v>
      </c>
    </row>
    <row r="1254" spans="1:10" ht="18.75" x14ac:dyDescent="0.3">
      <c r="A1254" s="8" t="s">
        <v>1411</v>
      </c>
      <c r="B1254" s="9" t="s">
        <v>1412</v>
      </c>
      <c r="C1254" s="9" t="s">
        <v>1281</v>
      </c>
      <c r="F1254" s="10"/>
      <c r="G1254" s="9"/>
      <c r="H1254" s="10">
        <v>30.1</v>
      </c>
      <c r="I1254" s="12">
        <f>H1254*(1-'[1]Discounts page'!D$21)</f>
        <v>18.059999999999999</v>
      </c>
      <c r="J1254" s="55">
        <f t="shared" si="35"/>
        <v>28</v>
      </c>
    </row>
    <row r="1255" spans="1:10" ht="18.75" x14ac:dyDescent="0.3">
      <c r="A1255" s="8" t="s">
        <v>1413</v>
      </c>
      <c r="B1255" s="9" t="s">
        <v>1414</v>
      </c>
      <c r="C1255" s="9" t="s">
        <v>1281</v>
      </c>
      <c r="F1255" s="10"/>
      <c r="G1255" s="9"/>
      <c r="H1255" s="10">
        <v>30.900000000000002</v>
      </c>
      <c r="I1255" s="12">
        <f>H1255*(1-'[1]Discounts page'!D$21)</f>
        <v>18.54</v>
      </c>
      <c r="J1255" s="55">
        <f t="shared" si="35"/>
        <v>28</v>
      </c>
    </row>
    <row r="1256" spans="1:10" ht="18.75" x14ac:dyDescent="0.3">
      <c r="A1256" s="8" t="s">
        <v>1415</v>
      </c>
      <c r="B1256" s="9" t="s">
        <v>1416</v>
      </c>
      <c r="C1256" s="9" t="s">
        <v>1281</v>
      </c>
      <c r="F1256" s="10"/>
      <c r="G1256" s="9"/>
      <c r="H1256" s="10">
        <v>32</v>
      </c>
      <c r="I1256" s="12">
        <f>H1256*(1-'[1]Discounts page'!D$21)</f>
        <v>19.2</v>
      </c>
      <c r="J1256" s="55">
        <f t="shared" si="35"/>
        <v>29</v>
      </c>
    </row>
    <row r="1257" spans="1:10" ht="18.75" x14ac:dyDescent="0.3">
      <c r="A1257" s="8" t="s">
        <v>1417</v>
      </c>
      <c r="B1257" s="9" t="s">
        <v>1418</v>
      </c>
      <c r="C1257" s="9" t="s">
        <v>1281</v>
      </c>
      <c r="F1257" s="10"/>
      <c r="G1257" s="9"/>
      <c r="H1257" s="10">
        <v>33.800000000000004</v>
      </c>
      <c r="I1257" s="12">
        <f>H1257*(1-'[1]Discounts page'!D$21)</f>
        <v>20.28</v>
      </c>
      <c r="J1257" s="55">
        <f t="shared" si="35"/>
        <v>31</v>
      </c>
    </row>
    <row r="1258" spans="1:10" ht="18.75" x14ac:dyDescent="0.3">
      <c r="A1258" s="8" t="s">
        <v>1419</v>
      </c>
      <c r="B1258" s="9" t="s">
        <v>1420</v>
      </c>
      <c r="C1258" s="9" t="s">
        <v>1281</v>
      </c>
      <c r="F1258" s="10"/>
      <c r="G1258" s="9"/>
      <c r="H1258" s="10">
        <v>34.9</v>
      </c>
      <c r="I1258" s="12">
        <f>H1258*(1-'[1]Discounts page'!D$21)</f>
        <v>20.939999999999998</v>
      </c>
      <c r="J1258" s="55">
        <f t="shared" si="35"/>
        <v>32</v>
      </c>
    </row>
    <row r="1259" spans="1:10" ht="18.75" x14ac:dyDescent="0.3">
      <c r="A1259" s="8" t="s">
        <v>1421</v>
      </c>
      <c r="B1259" s="9" t="s">
        <v>1422</v>
      </c>
      <c r="C1259" s="9" t="s">
        <v>1281</v>
      </c>
      <c r="F1259" s="10"/>
      <c r="G1259" s="9"/>
      <c r="H1259" s="10">
        <v>35.700000000000003</v>
      </c>
      <c r="I1259" s="12">
        <f>H1259*(1-'[1]Discounts page'!D$21)</f>
        <v>21.42</v>
      </c>
      <c r="J1259" s="55">
        <f t="shared" si="35"/>
        <v>33</v>
      </c>
    </row>
    <row r="1260" spans="1:10" ht="18.75" x14ac:dyDescent="0.3">
      <c r="A1260" s="8" t="s">
        <v>1423</v>
      </c>
      <c r="B1260" s="9" t="s">
        <v>1424</v>
      </c>
      <c r="C1260" s="9" t="s">
        <v>1281</v>
      </c>
      <c r="F1260" s="10"/>
      <c r="G1260" s="9"/>
      <c r="H1260" s="10">
        <v>35.700000000000003</v>
      </c>
      <c r="I1260" s="12">
        <f>H1260*(1-'[1]Discounts page'!D$21)</f>
        <v>21.42</v>
      </c>
      <c r="J1260" s="55">
        <f t="shared" si="35"/>
        <v>33</v>
      </c>
    </row>
    <row r="1261" spans="1:10" ht="18.75" x14ac:dyDescent="0.3">
      <c r="A1261" s="8" t="s">
        <v>1425</v>
      </c>
      <c r="B1261" s="9" t="s">
        <v>1426</v>
      </c>
      <c r="C1261" s="9" t="s">
        <v>1281</v>
      </c>
      <c r="F1261" s="10"/>
      <c r="G1261" s="9"/>
      <c r="H1261" s="10">
        <v>38.300000000000004</v>
      </c>
      <c r="I1261" s="12">
        <f>H1261*(1-'[1]Discounts page'!D$21)</f>
        <v>22.98</v>
      </c>
      <c r="J1261" s="55">
        <f t="shared" si="35"/>
        <v>35</v>
      </c>
    </row>
    <row r="1262" spans="1:10" ht="18.75" x14ac:dyDescent="0.3">
      <c r="A1262" s="8" t="s">
        <v>1427</v>
      </c>
      <c r="B1262" s="9" t="s">
        <v>1428</v>
      </c>
      <c r="C1262" s="9" t="s">
        <v>1281</v>
      </c>
      <c r="F1262" s="10"/>
      <c r="G1262" s="9"/>
      <c r="H1262" s="10">
        <v>39.700000000000003</v>
      </c>
      <c r="I1262" s="12">
        <f>H1262*(1-'[1]Discounts page'!D$21)</f>
        <v>23.82</v>
      </c>
      <c r="J1262" s="55">
        <f t="shared" si="35"/>
        <v>36</v>
      </c>
    </row>
    <row r="1263" spans="1:10" ht="18.75" x14ac:dyDescent="0.3">
      <c r="A1263" s="8" t="s">
        <v>1429</v>
      </c>
      <c r="B1263" s="9" t="s">
        <v>1430</v>
      </c>
      <c r="C1263" s="9" t="s">
        <v>1281</v>
      </c>
      <c r="F1263" s="10"/>
      <c r="G1263" s="9"/>
      <c r="H1263" s="10">
        <v>39.700000000000003</v>
      </c>
      <c r="I1263" s="12">
        <f>H1263*(1-'[1]Discounts page'!D$21)</f>
        <v>23.82</v>
      </c>
      <c r="J1263" s="55">
        <f t="shared" si="35"/>
        <v>36</v>
      </c>
    </row>
    <row r="1264" spans="1:10" ht="18.75" x14ac:dyDescent="0.3">
      <c r="A1264" s="8" t="s">
        <v>1431</v>
      </c>
      <c r="B1264" s="9" t="s">
        <v>1432</v>
      </c>
      <c r="C1264" s="9" t="s">
        <v>1281</v>
      </c>
      <c r="F1264" s="10"/>
      <c r="G1264" s="9"/>
      <c r="H1264" s="10">
        <v>40.800000000000004</v>
      </c>
      <c r="I1264" s="12">
        <f>H1264*(1-'[1]Discounts page'!D$21)</f>
        <v>24.48</v>
      </c>
      <c r="J1264" s="55">
        <f t="shared" si="35"/>
        <v>37</v>
      </c>
    </row>
    <row r="1265" spans="1:10" ht="18.75" x14ac:dyDescent="0.3">
      <c r="A1265" s="8" t="s">
        <v>1433</v>
      </c>
      <c r="B1265" s="9" t="s">
        <v>1434</v>
      </c>
      <c r="C1265" s="9" t="s">
        <v>1281</v>
      </c>
      <c r="F1265" s="10"/>
      <c r="G1265" s="9"/>
      <c r="H1265" s="10">
        <v>40.800000000000004</v>
      </c>
      <c r="I1265" s="12">
        <f>H1265*(1-'[1]Discounts page'!D$21)</f>
        <v>24.48</v>
      </c>
      <c r="J1265" s="55">
        <f t="shared" si="35"/>
        <v>37</v>
      </c>
    </row>
    <row r="1266" spans="1:10" ht="18.75" x14ac:dyDescent="0.3">
      <c r="A1266" s="8" t="s">
        <v>1435</v>
      </c>
      <c r="B1266" s="9" t="s">
        <v>1436</v>
      </c>
      <c r="C1266" s="9" t="s">
        <v>1281</v>
      </c>
      <c r="F1266" s="10"/>
      <c r="G1266" s="9"/>
      <c r="H1266" s="10">
        <v>42</v>
      </c>
      <c r="I1266" s="12">
        <f>H1266*(1-'[1]Discounts page'!D$21)</f>
        <v>25.2</v>
      </c>
      <c r="J1266" s="55">
        <f t="shared" si="35"/>
        <v>38</v>
      </c>
    </row>
    <row r="1267" spans="1:10" ht="18.75" x14ac:dyDescent="0.3">
      <c r="A1267" s="8" t="s">
        <v>1437</v>
      </c>
      <c r="B1267" s="9" t="s">
        <v>1438</v>
      </c>
      <c r="C1267" s="9" t="s">
        <v>1281</v>
      </c>
      <c r="F1267" s="10"/>
      <c r="G1267" s="9"/>
      <c r="H1267" s="10">
        <v>42</v>
      </c>
      <c r="I1267" s="12">
        <f>H1267*(1-'[1]Discounts page'!D$21)</f>
        <v>25.2</v>
      </c>
      <c r="J1267" s="55">
        <f t="shared" si="35"/>
        <v>38</v>
      </c>
    </row>
    <row r="1268" spans="1:10" ht="18.75" x14ac:dyDescent="0.3">
      <c r="A1268" s="8" t="s">
        <v>1439</v>
      </c>
      <c r="B1268" s="9" t="s">
        <v>1440</v>
      </c>
      <c r="C1268" s="9" t="s">
        <v>1281</v>
      </c>
      <c r="F1268" s="10"/>
      <c r="G1268" s="9"/>
      <c r="H1268" s="10">
        <v>42.5</v>
      </c>
      <c r="I1268" s="12">
        <f>H1268*(1-'[1]Discounts page'!D$21)</f>
        <v>25.5</v>
      </c>
      <c r="J1268" s="55">
        <f t="shared" si="35"/>
        <v>39</v>
      </c>
    </row>
    <row r="1269" spans="1:10" ht="18.75" x14ac:dyDescent="0.3">
      <c r="A1269" s="8" t="s">
        <v>1441</v>
      </c>
      <c r="B1269" s="9" t="s">
        <v>1442</v>
      </c>
      <c r="C1269" s="9" t="s">
        <v>1281</v>
      </c>
      <c r="F1269" s="10"/>
      <c r="G1269" s="9"/>
      <c r="H1269" s="10">
        <v>43.1</v>
      </c>
      <c r="I1269" s="12">
        <f>H1269*(1-'[1]Discounts page'!D$21)</f>
        <v>25.86</v>
      </c>
      <c r="J1269" s="55">
        <f t="shared" si="35"/>
        <v>39</v>
      </c>
    </row>
    <row r="1270" spans="1:10" ht="18.75" x14ac:dyDescent="0.3">
      <c r="A1270" s="8" t="s">
        <v>1443</v>
      </c>
      <c r="B1270" s="9" t="s">
        <v>1444</v>
      </c>
      <c r="C1270" s="9" t="s">
        <v>1281</v>
      </c>
      <c r="F1270" s="10"/>
      <c r="G1270" s="9"/>
      <c r="H1270" s="10">
        <v>45.1</v>
      </c>
      <c r="I1270" s="12">
        <f>H1270*(1-'[1]Discounts page'!D$21)</f>
        <v>27.06</v>
      </c>
      <c r="J1270" s="55">
        <f t="shared" si="35"/>
        <v>41</v>
      </c>
    </row>
    <row r="1271" spans="1:10" ht="18.75" x14ac:dyDescent="0.3">
      <c r="A1271" s="8" t="s">
        <v>1445</v>
      </c>
      <c r="B1271" s="9" t="s">
        <v>1446</v>
      </c>
      <c r="C1271" s="9" t="s">
        <v>1281</v>
      </c>
      <c r="F1271" s="10"/>
      <c r="G1271" s="9"/>
      <c r="H1271" s="10">
        <v>48.6</v>
      </c>
      <c r="I1271" s="12">
        <f>H1271*(1-'[1]Discounts page'!D$21)</f>
        <v>29.16</v>
      </c>
      <c r="J1271" s="55">
        <f t="shared" si="35"/>
        <v>44</v>
      </c>
    </row>
    <row r="1272" spans="1:10" ht="18.75" x14ac:dyDescent="0.3">
      <c r="A1272" s="8" t="s">
        <v>1447</v>
      </c>
      <c r="B1272" s="9" t="s">
        <v>1448</v>
      </c>
      <c r="C1272" s="9" t="s">
        <v>1281</v>
      </c>
      <c r="F1272" s="10"/>
      <c r="G1272" s="9"/>
      <c r="H1272" s="10">
        <v>48.6</v>
      </c>
      <c r="I1272" s="12">
        <f>H1272*(1-'[1]Discounts page'!D$21)</f>
        <v>29.16</v>
      </c>
      <c r="J1272" s="55">
        <f t="shared" si="35"/>
        <v>44</v>
      </c>
    </row>
    <row r="1273" spans="1:10" ht="18.75" x14ac:dyDescent="0.3">
      <c r="A1273" s="8" t="s">
        <v>1449</v>
      </c>
      <c r="B1273" s="9" t="s">
        <v>1450</v>
      </c>
      <c r="C1273" s="9" t="s">
        <v>1281</v>
      </c>
      <c r="F1273" s="10"/>
      <c r="G1273" s="9"/>
      <c r="H1273" s="10">
        <v>48.800000000000004</v>
      </c>
      <c r="I1273" s="12">
        <f>H1273*(1-'[1]Discounts page'!D$21)</f>
        <v>29.28</v>
      </c>
      <c r="J1273" s="55">
        <f t="shared" ref="J1273:J1336" si="36">ROUNDUP(I1273*1.5,0)</f>
        <v>44</v>
      </c>
    </row>
    <row r="1274" spans="1:10" ht="18.75" x14ac:dyDescent="0.3">
      <c r="A1274" s="8" t="s">
        <v>1451</v>
      </c>
      <c r="B1274" s="9" t="s">
        <v>1452</v>
      </c>
      <c r="C1274" s="9" t="s">
        <v>1281</v>
      </c>
      <c r="F1274" s="10"/>
      <c r="G1274" s="9"/>
      <c r="H1274" s="10">
        <v>49.5</v>
      </c>
      <c r="I1274" s="12">
        <f>H1274*(1-'[1]Discounts page'!D$21)</f>
        <v>29.7</v>
      </c>
      <c r="J1274" s="55">
        <f t="shared" si="36"/>
        <v>45</v>
      </c>
    </row>
    <row r="1275" spans="1:10" ht="18.75" x14ac:dyDescent="0.3">
      <c r="A1275" s="8" t="s">
        <v>1453</v>
      </c>
      <c r="B1275" s="9" t="s">
        <v>1454</v>
      </c>
      <c r="C1275" s="9" t="s">
        <v>1281</v>
      </c>
      <c r="F1275" s="10"/>
      <c r="G1275" s="9"/>
      <c r="H1275" s="10">
        <v>50.1</v>
      </c>
      <c r="I1275" s="12">
        <f>H1275*(1-'[1]Discounts page'!D$21)</f>
        <v>30.06</v>
      </c>
      <c r="J1275" s="55">
        <f t="shared" si="36"/>
        <v>46</v>
      </c>
    </row>
    <row r="1276" spans="1:10" ht="18.75" x14ac:dyDescent="0.3">
      <c r="A1276" s="8" t="s">
        <v>1455</v>
      </c>
      <c r="B1276" s="9" t="s">
        <v>1456</v>
      </c>
      <c r="C1276" s="9" t="s">
        <v>1281</v>
      </c>
      <c r="F1276" s="10"/>
      <c r="G1276" s="9"/>
      <c r="H1276" s="10">
        <v>50.1</v>
      </c>
      <c r="I1276" s="12">
        <f>H1276*(1-'[1]Discounts page'!D$21)</f>
        <v>30.06</v>
      </c>
      <c r="J1276" s="55">
        <f t="shared" si="36"/>
        <v>46</v>
      </c>
    </row>
    <row r="1277" spans="1:10" ht="18.75" x14ac:dyDescent="0.3">
      <c r="A1277" s="8" t="s">
        <v>1457</v>
      </c>
      <c r="B1277" s="9" t="s">
        <v>1458</v>
      </c>
      <c r="C1277" s="9" t="s">
        <v>1281</v>
      </c>
      <c r="F1277" s="10"/>
      <c r="G1277" s="9"/>
      <c r="H1277" s="10">
        <v>50.1</v>
      </c>
      <c r="I1277" s="12">
        <f>H1277*(1-'[1]Discounts page'!D$21)</f>
        <v>30.06</v>
      </c>
      <c r="J1277" s="55">
        <f t="shared" si="36"/>
        <v>46</v>
      </c>
    </row>
    <row r="1278" spans="1:10" ht="18.75" x14ac:dyDescent="0.3">
      <c r="A1278" s="8" t="s">
        <v>1459</v>
      </c>
      <c r="B1278" s="9" t="s">
        <v>1460</v>
      </c>
      <c r="C1278" s="9" t="s">
        <v>1281</v>
      </c>
      <c r="F1278" s="10"/>
      <c r="G1278" s="9"/>
      <c r="H1278" s="10">
        <v>52.2</v>
      </c>
      <c r="I1278" s="12">
        <f>H1278*(1-'[1]Discounts page'!D$21)</f>
        <v>31.32</v>
      </c>
      <c r="J1278" s="55">
        <f t="shared" si="36"/>
        <v>47</v>
      </c>
    </row>
    <row r="1279" spans="1:10" ht="18.75" x14ac:dyDescent="0.3">
      <c r="A1279" s="8" t="s">
        <v>1461</v>
      </c>
      <c r="B1279" s="9" t="s">
        <v>1462</v>
      </c>
      <c r="C1279" s="9" t="s">
        <v>1281</v>
      </c>
      <c r="F1279" s="10"/>
      <c r="G1279" s="9"/>
      <c r="H1279" s="10">
        <v>54.4</v>
      </c>
      <c r="I1279" s="12">
        <f>H1279*(1-'[1]Discounts page'!D$21)</f>
        <v>32.64</v>
      </c>
      <c r="J1279" s="55">
        <f t="shared" si="36"/>
        <v>49</v>
      </c>
    </row>
    <row r="1280" spans="1:10" ht="18.75" x14ac:dyDescent="0.3">
      <c r="A1280" s="8" t="s">
        <v>1463</v>
      </c>
      <c r="B1280" s="9" t="s">
        <v>1464</v>
      </c>
      <c r="C1280" s="9" t="s">
        <v>1281</v>
      </c>
      <c r="F1280" s="10"/>
      <c r="G1280" s="9"/>
      <c r="H1280" s="10">
        <v>58.5</v>
      </c>
      <c r="I1280" s="12">
        <f>H1280*(1-'[1]Discounts page'!D$21)</f>
        <v>35.1</v>
      </c>
      <c r="J1280" s="55">
        <f t="shared" si="36"/>
        <v>53</v>
      </c>
    </row>
    <row r="1281" spans="1:10" ht="18.75" x14ac:dyDescent="0.3">
      <c r="A1281" s="8" t="s">
        <v>1465</v>
      </c>
      <c r="B1281" s="9" t="s">
        <v>1466</v>
      </c>
      <c r="C1281" s="9" t="s">
        <v>1281</v>
      </c>
      <c r="F1281" s="10"/>
      <c r="G1281" s="9"/>
      <c r="H1281" s="10">
        <v>59.6</v>
      </c>
      <c r="I1281" s="12">
        <f>H1281*(1-'[1]Discounts page'!D$21)</f>
        <v>35.76</v>
      </c>
      <c r="J1281" s="55">
        <f t="shared" si="36"/>
        <v>54</v>
      </c>
    </row>
    <row r="1282" spans="1:10" ht="18.75" x14ac:dyDescent="0.3">
      <c r="A1282" s="8" t="s">
        <v>1467</v>
      </c>
      <c r="B1282" s="9" t="s">
        <v>1468</v>
      </c>
      <c r="C1282" s="9" t="s">
        <v>1281</v>
      </c>
      <c r="F1282" s="10"/>
      <c r="G1282" s="9"/>
      <c r="H1282" s="10">
        <v>61.6</v>
      </c>
      <c r="I1282" s="12">
        <f>H1282*(1-'[1]Discounts page'!D$21)</f>
        <v>36.96</v>
      </c>
      <c r="J1282" s="55">
        <f t="shared" si="36"/>
        <v>56</v>
      </c>
    </row>
    <row r="1283" spans="1:10" ht="18.75" x14ac:dyDescent="0.3">
      <c r="A1283" s="8" t="s">
        <v>1469</v>
      </c>
      <c r="B1283" s="9" t="s">
        <v>1470</v>
      </c>
      <c r="C1283" s="9" t="s">
        <v>1281</v>
      </c>
      <c r="F1283" s="10"/>
      <c r="G1283" s="9"/>
      <c r="H1283" s="10">
        <v>64.699999999999989</v>
      </c>
      <c r="I1283" s="12">
        <f>H1283*(1-'[1]Discounts page'!D$21)</f>
        <v>38.819999999999993</v>
      </c>
      <c r="J1283" s="55">
        <f t="shared" si="36"/>
        <v>59</v>
      </c>
    </row>
    <row r="1284" spans="1:10" ht="18.75" x14ac:dyDescent="0.3">
      <c r="A1284" s="8" t="s">
        <v>1471</v>
      </c>
      <c r="B1284" s="9" t="s">
        <v>1472</v>
      </c>
      <c r="C1284" s="9" t="s">
        <v>1281</v>
      </c>
      <c r="F1284" s="10"/>
      <c r="G1284" s="9"/>
      <c r="H1284" s="10">
        <v>67.399999999999991</v>
      </c>
      <c r="I1284" s="12">
        <f>H1284*(1-'[1]Discounts page'!D$21)</f>
        <v>40.439999999999991</v>
      </c>
      <c r="J1284" s="55">
        <f t="shared" si="36"/>
        <v>61</v>
      </c>
    </row>
    <row r="1285" spans="1:10" ht="18.75" x14ac:dyDescent="0.3">
      <c r="A1285" s="8" t="s">
        <v>1473</v>
      </c>
      <c r="B1285" s="9" t="s">
        <v>1474</v>
      </c>
      <c r="C1285" s="9" t="s">
        <v>1281</v>
      </c>
      <c r="F1285" s="10"/>
      <c r="G1285" s="9"/>
      <c r="H1285" s="10">
        <v>69.3</v>
      </c>
      <c r="I1285" s="12">
        <f>H1285*(1-'[1]Discounts page'!D$21)</f>
        <v>41.58</v>
      </c>
      <c r="J1285" s="55">
        <f t="shared" si="36"/>
        <v>63</v>
      </c>
    </row>
    <row r="1286" spans="1:10" ht="18.75" x14ac:dyDescent="0.3">
      <c r="A1286" s="8" t="s">
        <v>1475</v>
      </c>
      <c r="B1286" s="9" t="s">
        <v>1476</v>
      </c>
      <c r="C1286" s="9" t="s">
        <v>1281</v>
      </c>
      <c r="F1286" s="10"/>
      <c r="G1286" s="9"/>
      <c r="H1286" s="10">
        <v>72.5</v>
      </c>
      <c r="I1286" s="12">
        <f>H1286*(1-'[1]Discounts page'!D$21)</f>
        <v>43.5</v>
      </c>
      <c r="J1286" s="55">
        <f t="shared" si="36"/>
        <v>66</v>
      </c>
    </row>
    <row r="1287" spans="1:10" ht="18.75" x14ac:dyDescent="0.3">
      <c r="A1287" s="8" t="s">
        <v>1477</v>
      </c>
      <c r="B1287" s="9" t="s">
        <v>1478</v>
      </c>
      <c r="C1287" s="9" t="s">
        <v>1281</v>
      </c>
      <c r="F1287" s="10"/>
      <c r="G1287" s="9"/>
      <c r="H1287" s="10">
        <v>395.70000000000005</v>
      </c>
      <c r="I1287" s="12">
        <f>H1287*(1-'[1]Discounts page'!D$21)</f>
        <v>237.42000000000002</v>
      </c>
      <c r="J1287" s="55">
        <f t="shared" si="36"/>
        <v>357</v>
      </c>
    </row>
    <row r="1288" spans="1:10" ht="18.75" x14ac:dyDescent="0.3">
      <c r="A1288" s="8" t="s">
        <v>1479</v>
      </c>
      <c r="B1288" s="9" t="s">
        <v>1480</v>
      </c>
      <c r="C1288" s="9" t="s">
        <v>1281</v>
      </c>
      <c r="F1288" s="10"/>
      <c r="G1288" s="9"/>
      <c r="H1288" s="10">
        <v>512.1</v>
      </c>
      <c r="I1288" s="12">
        <f>H1288*(1-'[1]Discounts page'!D$21)</f>
        <v>307.26</v>
      </c>
      <c r="J1288" s="55">
        <f t="shared" si="36"/>
        <v>461</v>
      </c>
    </row>
    <row r="1289" spans="1:10" ht="18.75" x14ac:dyDescent="0.3">
      <c r="A1289" s="8" t="s">
        <v>1481</v>
      </c>
      <c r="B1289" s="9" t="s">
        <v>1482</v>
      </c>
      <c r="C1289" s="9" t="s">
        <v>1281</v>
      </c>
      <c r="F1289" s="10"/>
      <c r="G1289" s="9"/>
      <c r="H1289" s="10">
        <v>372.1</v>
      </c>
      <c r="I1289" s="12">
        <f>H1289*(1-'[1]Discounts page'!D$21)</f>
        <v>223.26000000000002</v>
      </c>
      <c r="J1289" s="55">
        <f t="shared" si="36"/>
        <v>335</v>
      </c>
    </row>
    <row r="1290" spans="1:10" ht="18.75" x14ac:dyDescent="0.3">
      <c r="A1290" s="8" t="s">
        <v>1483</v>
      </c>
      <c r="B1290" s="9" t="s">
        <v>1484</v>
      </c>
      <c r="C1290" s="9" t="s">
        <v>1281</v>
      </c>
      <c r="F1290" s="10"/>
      <c r="G1290" s="9"/>
      <c r="H1290" s="10">
        <v>321.70000000000005</v>
      </c>
      <c r="I1290" s="12">
        <f>H1290*(1-'[1]Discounts page'!D$21)</f>
        <v>193.02</v>
      </c>
      <c r="J1290" s="55">
        <f t="shared" si="36"/>
        <v>290</v>
      </c>
    </row>
    <row r="1291" spans="1:10" ht="18.75" x14ac:dyDescent="0.3">
      <c r="A1291" s="8" t="s">
        <v>1485</v>
      </c>
      <c r="B1291" s="9" t="s">
        <v>1486</v>
      </c>
      <c r="C1291" s="9" t="s">
        <v>1281</v>
      </c>
      <c r="F1291" s="10"/>
      <c r="G1291" s="9"/>
      <c r="H1291" s="10">
        <v>436.5</v>
      </c>
      <c r="I1291" s="12">
        <f>H1291*(1-'[1]Discounts page'!D$21)</f>
        <v>261.89999999999998</v>
      </c>
      <c r="J1291" s="55">
        <f t="shared" si="36"/>
        <v>393</v>
      </c>
    </row>
    <row r="1292" spans="1:10" ht="18.75" x14ac:dyDescent="0.3">
      <c r="A1292" s="8" t="s">
        <v>1487</v>
      </c>
      <c r="B1292" s="9" t="s">
        <v>1488</v>
      </c>
      <c r="C1292" s="9" t="s">
        <v>1281</v>
      </c>
      <c r="F1292" s="10"/>
      <c r="G1292" s="9"/>
      <c r="H1292" s="10">
        <v>574.30000000000007</v>
      </c>
      <c r="I1292" s="12">
        <f>H1292*(1-'[1]Discounts page'!D$21)</f>
        <v>344.58000000000004</v>
      </c>
      <c r="J1292" s="55">
        <f t="shared" si="36"/>
        <v>517</v>
      </c>
    </row>
    <row r="1293" spans="1:10" ht="18.75" x14ac:dyDescent="0.3">
      <c r="A1293" s="8" t="s">
        <v>1489</v>
      </c>
      <c r="B1293" s="9" t="s">
        <v>1490</v>
      </c>
      <c r="C1293" s="9" t="s">
        <v>1281</v>
      </c>
      <c r="F1293" s="10"/>
      <c r="G1293" s="9"/>
      <c r="H1293" s="10">
        <v>38</v>
      </c>
      <c r="I1293" s="12">
        <f>H1293*(1-'[1]Discounts page'!D$21)</f>
        <v>22.8</v>
      </c>
      <c r="J1293" s="55">
        <f t="shared" si="36"/>
        <v>35</v>
      </c>
    </row>
    <row r="1294" spans="1:10" ht="18.75" x14ac:dyDescent="0.3">
      <c r="A1294" s="8" t="s">
        <v>1491</v>
      </c>
      <c r="B1294" s="9" t="s">
        <v>1492</v>
      </c>
      <c r="C1294" s="9" t="s">
        <v>1281</v>
      </c>
      <c r="F1294" s="10"/>
      <c r="G1294" s="9"/>
      <c r="H1294" s="10">
        <v>67</v>
      </c>
      <c r="I1294" s="12">
        <f>H1294*(1-'[1]Discounts page'!D$21)</f>
        <v>40.199999999999996</v>
      </c>
      <c r="J1294" s="55">
        <f t="shared" si="36"/>
        <v>61</v>
      </c>
    </row>
    <row r="1295" spans="1:10" ht="18.75" x14ac:dyDescent="0.3">
      <c r="A1295" s="8" t="s">
        <v>1493</v>
      </c>
      <c r="B1295" s="9" t="s">
        <v>1494</v>
      </c>
      <c r="C1295" s="9" t="s">
        <v>1281</v>
      </c>
      <c r="F1295" s="10"/>
      <c r="G1295" s="9"/>
      <c r="H1295" s="10">
        <v>53.4</v>
      </c>
      <c r="I1295" s="12">
        <f>H1295*(1-'[1]Discounts page'!D$21)</f>
        <v>32.04</v>
      </c>
      <c r="J1295" s="55">
        <f t="shared" si="36"/>
        <v>49</v>
      </c>
    </row>
    <row r="1296" spans="1:10" ht="18.75" x14ac:dyDescent="0.3">
      <c r="A1296" s="8" t="s">
        <v>1495</v>
      </c>
      <c r="B1296" s="9" t="s">
        <v>1496</v>
      </c>
      <c r="C1296" s="9" t="s">
        <v>1281</v>
      </c>
      <c r="F1296" s="10"/>
      <c r="G1296" s="9"/>
      <c r="H1296" s="10">
        <v>86.399999999999991</v>
      </c>
      <c r="I1296" s="12">
        <f>H1296*(1-'[1]Discounts page'!D$21)</f>
        <v>51.839999999999996</v>
      </c>
      <c r="J1296" s="55">
        <f t="shared" si="36"/>
        <v>78</v>
      </c>
    </row>
    <row r="1297" spans="1:10" ht="18.75" x14ac:dyDescent="0.3">
      <c r="A1297" s="8" t="s">
        <v>1497</v>
      </c>
      <c r="B1297" s="9" t="s">
        <v>1498</v>
      </c>
      <c r="C1297" s="9" t="s">
        <v>1281</v>
      </c>
      <c r="F1297" s="10"/>
      <c r="G1297" s="9"/>
      <c r="H1297" s="10">
        <v>68.8</v>
      </c>
      <c r="I1297" s="12">
        <f>H1297*(1-'[1]Discounts page'!D$21)</f>
        <v>41.279999999999994</v>
      </c>
      <c r="J1297" s="55">
        <f t="shared" si="36"/>
        <v>62</v>
      </c>
    </row>
    <row r="1298" spans="1:10" ht="18.75" x14ac:dyDescent="0.3">
      <c r="A1298" s="8" t="s">
        <v>1499</v>
      </c>
      <c r="B1298" s="9" t="s">
        <v>1500</v>
      </c>
      <c r="C1298" s="9" t="s">
        <v>1281</v>
      </c>
      <c r="F1298" s="10"/>
      <c r="G1298" s="9"/>
      <c r="H1298" s="10">
        <v>68.8</v>
      </c>
      <c r="I1298" s="12">
        <f>H1298*(1-'[1]Discounts page'!D$21)</f>
        <v>41.279999999999994</v>
      </c>
      <c r="J1298" s="55">
        <f t="shared" si="36"/>
        <v>62</v>
      </c>
    </row>
    <row r="1299" spans="1:10" ht="18.75" x14ac:dyDescent="0.3">
      <c r="A1299" s="8" t="s">
        <v>1501</v>
      </c>
      <c r="B1299" s="9" t="s">
        <v>1502</v>
      </c>
      <c r="C1299" s="9" t="s">
        <v>1281</v>
      </c>
      <c r="F1299" s="10"/>
      <c r="G1299" s="9"/>
      <c r="H1299" s="10">
        <v>55.1</v>
      </c>
      <c r="I1299" s="12">
        <f>H1299*(1-'[1]Discounts page'!D$21)</f>
        <v>33.06</v>
      </c>
      <c r="J1299" s="55">
        <f t="shared" si="36"/>
        <v>50</v>
      </c>
    </row>
    <row r="1300" spans="1:10" ht="18.75" x14ac:dyDescent="0.3">
      <c r="A1300" s="8" t="s">
        <v>1503</v>
      </c>
      <c r="B1300" s="9" t="s">
        <v>1504</v>
      </c>
      <c r="C1300" s="9" t="s">
        <v>1281</v>
      </c>
      <c r="F1300" s="10"/>
      <c r="G1300" s="9"/>
      <c r="H1300" s="10">
        <v>13.799999999999999</v>
      </c>
      <c r="I1300" s="12">
        <f>H1300*(1-'[1]Discounts page'!D$21)</f>
        <v>8.2799999999999994</v>
      </c>
      <c r="J1300" s="55">
        <f t="shared" si="36"/>
        <v>13</v>
      </c>
    </row>
    <row r="1301" spans="1:10" ht="18.75" x14ac:dyDescent="0.3">
      <c r="A1301" s="8" t="s">
        <v>1505</v>
      </c>
      <c r="B1301" s="9" t="s">
        <v>1506</v>
      </c>
      <c r="C1301" s="9" t="s">
        <v>1281</v>
      </c>
      <c r="F1301" s="10"/>
      <c r="G1301" s="9"/>
      <c r="H1301" s="10">
        <v>10.6</v>
      </c>
      <c r="I1301" s="12">
        <f>H1301*(1-'[1]Discounts page'!D$21)</f>
        <v>6.3599999999999994</v>
      </c>
      <c r="J1301" s="55">
        <f t="shared" si="36"/>
        <v>10</v>
      </c>
    </row>
    <row r="1302" spans="1:10" ht="18.75" x14ac:dyDescent="0.3">
      <c r="A1302" s="8" t="s">
        <v>1507</v>
      </c>
      <c r="B1302" s="9" t="s">
        <v>1508</v>
      </c>
      <c r="C1302" s="9" t="s">
        <v>1281</v>
      </c>
      <c r="F1302" s="10"/>
      <c r="G1302" s="9"/>
      <c r="H1302" s="10">
        <v>10.6</v>
      </c>
      <c r="I1302" s="12">
        <f>H1302*(1-'[1]Discounts page'!D$21)</f>
        <v>6.3599999999999994</v>
      </c>
      <c r="J1302" s="55">
        <f t="shared" si="36"/>
        <v>10</v>
      </c>
    </row>
    <row r="1303" spans="1:10" ht="18.75" x14ac:dyDescent="0.3">
      <c r="A1303" s="8" t="s">
        <v>1509</v>
      </c>
      <c r="B1303" s="9" t="s">
        <v>1510</v>
      </c>
      <c r="C1303" s="9" t="s">
        <v>1281</v>
      </c>
      <c r="F1303" s="10"/>
      <c r="G1303" s="9"/>
      <c r="H1303" s="10">
        <v>11.299999999999999</v>
      </c>
      <c r="I1303" s="12">
        <f>H1303*(1-'[1]Discounts page'!D$21)</f>
        <v>6.7799999999999994</v>
      </c>
      <c r="J1303" s="55">
        <f t="shared" si="36"/>
        <v>11</v>
      </c>
    </row>
    <row r="1304" spans="1:10" ht="18.75" x14ac:dyDescent="0.3">
      <c r="A1304" s="8" t="s">
        <v>1511</v>
      </c>
      <c r="B1304" s="9" t="s">
        <v>1512</v>
      </c>
      <c r="C1304" s="9" t="s">
        <v>1281</v>
      </c>
      <c r="F1304" s="10"/>
      <c r="G1304" s="9"/>
      <c r="H1304" s="10">
        <v>11.299999999999999</v>
      </c>
      <c r="I1304" s="12">
        <f>H1304*(1-'[1]Discounts page'!D$21)</f>
        <v>6.7799999999999994</v>
      </c>
      <c r="J1304" s="55">
        <f t="shared" si="36"/>
        <v>11</v>
      </c>
    </row>
    <row r="1305" spans="1:10" ht="18.75" x14ac:dyDescent="0.3">
      <c r="A1305" s="8" t="s">
        <v>1513</v>
      </c>
      <c r="B1305" s="9" t="s">
        <v>1514</v>
      </c>
      <c r="C1305" s="9" t="s">
        <v>1281</v>
      </c>
      <c r="F1305" s="10"/>
      <c r="G1305" s="9"/>
      <c r="H1305" s="10">
        <v>29.6</v>
      </c>
      <c r="I1305" s="12">
        <f>H1305*(1-'[1]Discounts page'!D$21)</f>
        <v>17.760000000000002</v>
      </c>
      <c r="J1305" s="55">
        <f t="shared" si="36"/>
        <v>27</v>
      </c>
    </row>
    <row r="1306" spans="1:10" ht="18.75" x14ac:dyDescent="0.3">
      <c r="A1306" s="20" t="s">
        <v>1515</v>
      </c>
      <c r="B1306" s="8"/>
      <c r="C1306" s="9"/>
      <c r="F1306" s="10"/>
      <c r="G1306" s="9"/>
      <c r="H1306" s="10"/>
      <c r="I1306" s="12"/>
      <c r="J1306" s="55">
        <f t="shared" si="36"/>
        <v>0</v>
      </c>
    </row>
    <row r="1307" spans="1:10" ht="18.75" x14ac:dyDescent="0.3">
      <c r="A1307" s="8" t="s">
        <v>1516</v>
      </c>
      <c r="B1307" s="9" t="s">
        <v>1517</v>
      </c>
      <c r="C1307" s="9" t="s">
        <v>1518</v>
      </c>
      <c r="F1307" s="10"/>
      <c r="G1307" s="9"/>
      <c r="H1307" s="10">
        <v>548.30000000000007</v>
      </c>
      <c r="I1307" s="12">
        <f>H1307*(1-'[1]Discounts page'!D$22)</f>
        <v>328.98</v>
      </c>
      <c r="J1307" s="55">
        <f t="shared" si="36"/>
        <v>494</v>
      </c>
    </row>
    <row r="1308" spans="1:10" ht="18.75" x14ac:dyDescent="0.3">
      <c r="A1308" s="8" t="s">
        <v>1519</v>
      </c>
      <c r="B1308" s="9" t="s">
        <v>1520</v>
      </c>
      <c r="C1308" s="9" t="s">
        <v>1518</v>
      </c>
      <c r="F1308" s="10"/>
      <c r="G1308" s="9"/>
      <c r="H1308" s="10">
        <v>95.399999999999991</v>
      </c>
      <c r="I1308" s="12">
        <f>H1308*(1-'[1]Discounts page'!D$22)</f>
        <v>57.239999999999995</v>
      </c>
      <c r="J1308" s="55">
        <f t="shared" si="36"/>
        <v>86</v>
      </c>
    </row>
    <row r="1309" spans="1:10" ht="18.75" x14ac:dyDescent="0.3">
      <c r="A1309" s="8" t="s">
        <v>1521</v>
      </c>
      <c r="B1309" s="9" t="s">
        <v>1522</v>
      </c>
      <c r="C1309" s="9" t="s">
        <v>1518</v>
      </c>
      <c r="F1309" s="10"/>
      <c r="G1309" s="9"/>
      <c r="H1309" s="10">
        <v>95.399999999999991</v>
      </c>
      <c r="I1309" s="12">
        <f>H1309*(1-'[1]Discounts page'!D$22)</f>
        <v>57.239999999999995</v>
      </c>
      <c r="J1309" s="55">
        <f t="shared" si="36"/>
        <v>86</v>
      </c>
    </row>
    <row r="1310" spans="1:10" ht="18.75" x14ac:dyDescent="0.3">
      <c r="A1310" s="8" t="s">
        <v>1523</v>
      </c>
      <c r="B1310" s="9" t="s">
        <v>1524</v>
      </c>
      <c r="C1310" s="9" t="s">
        <v>1518</v>
      </c>
      <c r="F1310" s="10"/>
      <c r="G1310" s="9"/>
      <c r="H1310" s="10">
        <v>95.399999999999991</v>
      </c>
      <c r="I1310" s="12">
        <f>H1310*(1-'[1]Discounts page'!D$22)</f>
        <v>57.239999999999995</v>
      </c>
      <c r="J1310" s="55">
        <f t="shared" si="36"/>
        <v>86</v>
      </c>
    </row>
    <row r="1311" spans="1:10" ht="18.75" x14ac:dyDescent="0.3">
      <c r="A1311" s="8" t="s">
        <v>1525</v>
      </c>
      <c r="B1311" s="9" t="s">
        <v>1526</v>
      </c>
      <c r="C1311" s="9" t="s">
        <v>1518</v>
      </c>
      <c r="F1311" s="10"/>
      <c r="G1311" s="9"/>
      <c r="H1311" s="10">
        <v>95.399999999999991</v>
      </c>
      <c r="I1311" s="12">
        <f>H1311*(1-'[1]Discounts page'!D$22)</f>
        <v>57.239999999999995</v>
      </c>
      <c r="J1311" s="55">
        <f t="shared" si="36"/>
        <v>86</v>
      </c>
    </row>
    <row r="1312" spans="1:10" ht="18.75" x14ac:dyDescent="0.3">
      <c r="A1312" s="8" t="s">
        <v>1527</v>
      </c>
      <c r="B1312" s="9" t="s">
        <v>1528</v>
      </c>
      <c r="C1312" s="9" t="s">
        <v>1518</v>
      </c>
      <c r="F1312" s="10"/>
      <c r="G1312" s="9"/>
      <c r="H1312" s="10">
        <v>98.5</v>
      </c>
      <c r="I1312" s="12">
        <f>H1312*(1-'[1]Discounts page'!D$22)</f>
        <v>59.099999999999994</v>
      </c>
      <c r="J1312" s="55">
        <f t="shared" si="36"/>
        <v>89</v>
      </c>
    </row>
    <row r="1313" spans="1:10" ht="18.75" x14ac:dyDescent="0.3">
      <c r="A1313" s="8" t="s">
        <v>1529</v>
      </c>
      <c r="B1313" s="9" t="s">
        <v>1530</v>
      </c>
      <c r="C1313" s="9" t="s">
        <v>1518</v>
      </c>
      <c r="F1313" s="10"/>
      <c r="G1313" s="9"/>
      <c r="H1313" s="10">
        <v>98.5</v>
      </c>
      <c r="I1313" s="12">
        <f>H1313*(1-'[1]Discounts page'!D$22)</f>
        <v>59.099999999999994</v>
      </c>
      <c r="J1313" s="55">
        <f t="shared" si="36"/>
        <v>89</v>
      </c>
    </row>
    <row r="1314" spans="1:10" ht="18.75" x14ac:dyDescent="0.3">
      <c r="A1314" s="8" t="s">
        <v>1531</v>
      </c>
      <c r="B1314" s="9" t="s">
        <v>1532</v>
      </c>
      <c r="C1314" s="9" t="s">
        <v>1518</v>
      </c>
      <c r="F1314" s="10"/>
      <c r="G1314" s="9"/>
      <c r="H1314" s="10">
        <v>103</v>
      </c>
      <c r="I1314" s="12">
        <f>H1314*(1-'[1]Discounts page'!D$22)</f>
        <v>61.8</v>
      </c>
      <c r="J1314" s="55">
        <f t="shared" si="36"/>
        <v>93</v>
      </c>
    </row>
    <row r="1315" spans="1:10" ht="18.75" x14ac:dyDescent="0.3">
      <c r="A1315" s="8" t="s">
        <v>1533</v>
      </c>
      <c r="B1315" s="9" t="s">
        <v>1534</v>
      </c>
      <c r="C1315" s="9" t="s">
        <v>1518</v>
      </c>
      <c r="F1315" s="10"/>
      <c r="G1315" s="9"/>
      <c r="H1315" s="10">
        <v>108.3</v>
      </c>
      <c r="I1315" s="12">
        <f>H1315*(1-'[1]Discounts page'!D$22)</f>
        <v>64.97999999999999</v>
      </c>
      <c r="J1315" s="55">
        <f t="shared" si="36"/>
        <v>98</v>
      </c>
    </row>
    <row r="1316" spans="1:10" ht="18.75" x14ac:dyDescent="0.3">
      <c r="A1316" s="8" t="s">
        <v>1535</v>
      </c>
      <c r="B1316" s="9" t="s">
        <v>1536</v>
      </c>
      <c r="C1316" s="9" t="s">
        <v>1518</v>
      </c>
      <c r="F1316" s="10"/>
      <c r="G1316" s="9"/>
      <c r="H1316" s="10">
        <v>108.3</v>
      </c>
      <c r="I1316" s="12">
        <f>H1316*(1-'[1]Discounts page'!D$22)</f>
        <v>64.97999999999999</v>
      </c>
      <c r="J1316" s="55">
        <f t="shared" si="36"/>
        <v>98</v>
      </c>
    </row>
    <row r="1317" spans="1:10" ht="18.75" x14ac:dyDescent="0.3">
      <c r="A1317" s="8" t="s">
        <v>1537</v>
      </c>
      <c r="B1317" s="9" t="s">
        <v>1538</v>
      </c>
      <c r="C1317" s="9" t="s">
        <v>1518</v>
      </c>
      <c r="F1317" s="10"/>
      <c r="G1317" s="9"/>
      <c r="H1317" s="10">
        <v>112.89999999999999</v>
      </c>
      <c r="I1317" s="12">
        <f>H1317*(1-'[1]Discounts page'!D$22)</f>
        <v>67.739999999999995</v>
      </c>
      <c r="J1317" s="55">
        <f t="shared" si="36"/>
        <v>102</v>
      </c>
    </row>
    <row r="1318" spans="1:10" ht="18.75" x14ac:dyDescent="0.3">
      <c r="A1318" s="8" t="s">
        <v>1539</v>
      </c>
      <c r="B1318" s="9" t="s">
        <v>1540</v>
      </c>
      <c r="C1318" s="9" t="s">
        <v>1518</v>
      </c>
      <c r="F1318" s="10"/>
      <c r="G1318" s="9"/>
      <c r="H1318" s="10">
        <v>133.6</v>
      </c>
      <c r="I1318" s="12">
        <f>H1318*(1-'[1]Discounts page'!D$22)</f>
        <v>80.16</v>
      </c>
      <c r="J1318" s="55">
        <f t="shared" si="36"/>
        <v>121</v>
      </c>
    </row>
    <row r="1319" spans="1:10" ht="18.75" x14ac:dyDescent="0.3">
      <c r="A1319" s="8" t="s">
        <v>1541</v>
      </c>
      <c r="B1319" s="9" t="s">
        <v>1542</v>
      </c>
      <c r="C1319" s="9" t="s">
        <v>1518</v>
      </c>
      <c r="F1319" s="10"/>
      <c r="G1319" s="9"/>
      <c r="H1319" s="10">
        <v>133.6</v>
      </c>
      <c r="I1319" s="12">
        <f>H1319*(1-'[1]Discounts page'!D$22)</f>
        <v>80.16</v>
      </c>
      <c r="J1319" s="55">
        <f t="shared" si="36"/>
        <v>121</v>
      </c>
    </row>
    <row r="1320" spans="1:10" ht="18.75" x14ac:dyDescent="0.3">
      <c r="A1320" s="8" t="s">
        <v>1543</v>
      </c>
      <c r="B1320" s="9" t="s">
        <v>1544</v>
      </c>
      <c r="C1320" s="9" t="s">
        <v>1518</v>
      </c>
      <c r="F1320" s="10"/>
      <c r="G1320" s="9"/>
      <c r="H1320" s="10">
        <v>141.6</v>
      </c>
      <c r="I1320" s="12">
        <f>H1320*(1-'[1]Discounts page'!D$22)</f>
        <v>84.96</v>
      </c>
      <c r="J1320" s="55">
        <f t="shared" si="36"/>
        <v>128</v>
      </c>
    </row>
    <row r="1321" spans="1:10" ht="18.75" x14ac:dyDescent="0.3">
      <c r="A1321" s="8" t="s">
        <v>1545</v>
      </c>
      <c r="B1321" s="9" t="s">
        <v>1546</v>
      </c>
      <c r="C1321" s="9" t="s">
        <v>1518</v>
      </c>
      <c r="F1321" s="10"/>
      <c r="G1321" s="9"/>
      <c r="H1321" s="10">
        <v>141.6</v>
      </c>
      <c r="I1321" s="12">
        <f>H1321*(1-'[1]Discounts page'!D$22)</f>
        <v>84.96</v>
      </c>
      <c r="J1321" s="55">
        <f t="shared" si="36"/>
        <v>128</v>
      </c>
    </row>
    <row r="1322" spans="1:10" ht="18.75" x14ac:dyDescent="0.3">
      <c r="A1322" s="8" t="s">
        <v>1547</v>
      </c>
      <c r="B1322" s="9" t="s">
        <v>1548</v>
      </c>
      <c r="C1322" s="9" t="s">
        <v>1518</v>
      </c>
      <c r="F1322" s="10"/>
      <c r="G1322" s="9"/>
      <c r="H1322" s="10">
        <v>150.79999999999998</v>
      </c>
      <c r="I1322" s="12">
        <f>H1322*(1-'[1]Discounts page'!D$22)</f>
        <v>90.47999999999999</v>
      </c>
      <c r="J1322" s="55">
        <f t="shared" si="36"/>
        <v>136</v>
      </c>
    </row>
    <row r="1323" spans="1:10" ht="18.75" x14ac:dyDescent="0.3">
      <c r="A1323" s="8" t="s">
        <v>1549</v>
      </c>
      <c r="B1323" s="9" t="s">
        <v>1550</v>
      </c>
      <c r="C1323" s="9" t="s">
        <v>1518</v>
      </c>
      <c r="F1323" s="10"/>
      <c r="G1323" s="9"/>
      <c r="H1323" s="10">
        <v>150.79999999999998</v>
      </c>
      <c r="I1323" s="12">
        <f>H1323*(1-'[1]Discounts page'!D$22)</f>
        <v>90.47999999999999</v>
      </c>
      <c r="J1323" s="55">
        <f t="shared" si="36"/>
        <v>136</v>
      </c>
    </row>
    <row r="1324" spans="1:10" ht="18.75" x14ac:dyDescent="0.3">
      <c r="A1324" s="8" t="s">
        <v>1551</v>
      </c>
      <c r="B1324" s="9" t="s">
        <v>1552</v>
      </c>
      <c r="C1324" s="9" t="s">
        <v>1518</v>
      </c>
      <c r="F1324" s="10"/>
      <c r="G1324" s="9"/>
      <c r="H1324" s="10">
        <v>150.79999999999998</v>
      </c>
      <c r="I1324" s="12">
        <f>H1324*(1-'[1]Discounts page'!D$22)</f>
        <v>90.47999999999999</v>
      </c>
      <c r="J1324" s="55">
        <f t="shared" si="36"/>
        <v>136</v>
      </c>
    </row>
    <row r="1325" spans="1:10" ht="18.75" x14ac:dyDescent="0.3">
      <c r="A1325" s="8" t="s">
        <v>1553</v>
      </c>
      <c r="B1325" s="9" t="s">
        <v>1554</v>
      </c>
      <c r="C1325" s="9" t="s">
        <v>1518</v>
      </c>
      <c r="F1325" s="10"/>
      <c r="G1325" s="9"/>
      <c r="H1325" s="10">
        <v>163.79999999999998</v>
      </c>
      <c r="I1325" s="12">
        <f>H1325*(1-'[1]Discounts page'!D$22)</f>
        <v>98.279999999999987</v>
      </c>
      <c r="J1325" s="55">
        <f t="shared" si="36"/>
        <v>148</v>
      </c>
    </row>
    <row r="1326" spans="1:10" ht="18.75" x14ac:dyDescent="0.3">
      <c r="A1326" s="8" t="s">
        <v>1555</v>
      </c>
      <c r="B1326" s="9" t="s">
        <v>1556</v>
      </c>
      <c r="C1326" s="9" t="s">
        <v>1518</v>
      </c>
      <c r="F1326" s="10"/>
      <c r="G1326" s="9"/>
      <c r="H1326" s="10">
        <v>163.79999999999998</v>
      </c>
      <c r="I1326" s="12">
        <f>H1326*(1-'[1]Discounts page'!D$22)</f>
        <v>98.279999999999987</v>
      </c>
      <c r="J1326" s="55">
        <f t="shared" si="36"/>
        <v>148</v>
      </c>
    </row>
    <row r="1327" spans="1:10" ht="18.75" x14ac:dyDescent="0.3">
      <c r="A1327" s="8" t="s">
        <v>1557</v>
      </c>
      <c r="B1327" s="9" t="s">
        <v>1558</v>
      </c>
      <c r="C1327" s="9" t="s">
        <v>1518</v>
      </c>
      <c r="F1327" s="10"/>
      <c r="G1327" s="9"/>
      <c r="H1327" s="10">
        <v>179.79999999999998</v>
      </c>
      <c r="I1327" s="12">
        <f>H1327*(1-'[1]Discounts page'!D$22)</f>
        <v>107.87999999999998</v>
      </c>
      <c r="J1327" s="55">
        <f t="shared" si="36"/>
        <v>162</v>
      </c>
    </row>
    <row r="1328" spans="1:10" ht="18.75" x14ac:dyDescent="0.3">
      <c r="A1328" s="8" t="s">
        <v>1559</v>
      </c>
      <c r="B1328" s="9" t="s">
        <v>1560</v>
      </c>
      <c r="C1328" s="9" t="s">
        <v>1518</v>
      </c>
      <c r="F1328" s="10"/>
      <c r="G1328" s="9"/>
      <c r="H1328" s="10">
        <v>190.4</v>
      </c>
      <c r="I1328" s="12">
        <f>H1328*(1-'[1]Discounts page'!D$22)</f>
        <v>114.24</v>
      </c>
      <c r="J1328" s="55">
        <f t="shared" si="36"/>
        <v>172</v>
      </c>
    </row>
    <row r="1329" spans="1:10" ht="18.75" x14ac:dyDescent="0.3">
      <c r="A1329" s="8" t="s">
        <v>1561</v>
      </c>
      <c r="B1329" s="9" t="s">
        <v>1562</v>
      </c>
      <c r="C1329" s="9" t="s">
        <v>1518</v>
      </c>
      <c r="F1329" s="10"/>
      <c r="G1329" s="9"/>
      <c r="H1329" s="10">
        <v>227.6</v>
      </c>
      <c r="I1329" s="12">
        <f>H1329*(1-'[1]Discounts page'!D$22)</f>
        <v>136.56</v>
      </c>
      <c r="J1329" s="55">
        <f t="shared" si="36"/>
        <v>205</v>
      </c>
    </row>
    <row r="1330" spans="1:10" ht="18.75" x14ac:dyDescent="0.3">
      <c r="A1330" s="8" t="s">
        <v>1563</v>
      </c>
      <c r="B1330" s="9" t="s">
        <v>1564</v>
      </c>
      <c r="C1330" s="9" t="s">
        <v>1518</v>
      </c>
      <c r="F1330" s="10"/>
      <c r="G1330" s="9"/>
      <c r="H1330" s="10">
        <v>227.6</v>
      </c>
      <c r="I1330" s="12">
        <f>H1330*(1-'[1]Discounts page'!D$22)</f>
        <v>136.56</v>
      </c>
      <c r="J1330" s="55">
        <f t="shared" si="36"/>
        <v>205</v>
      </c>
    </row>
    <row r="1331" spans="1:10" ht="18.75" x14ac:dyDescent="0.3">
      <c r="A1331" s="8" t="s">
        <v>1565</v>
      </c>
      <c r="B1331" s="9" t="s">
        <v>1566</v>
      </c>
      <c r="C1331" s="9" t="s">
        <v>1518</v>
      </c>
      <c r="F1331" s="10"/>
      <c r="G1331" s="9"/>
      <c r="H1331" s="10">
        <v>239.7</v>
      </c>
      <c r="I1331" s="12">
        <f>H1331*(1-'[1]Discounts page'!D$22)</f>
        <v>143.82</v>
      </c>
      <c r="J1331" s="55">
        <f t="shared" si="36"/>
        <v>216</v>
      </c>
    </row>
    <row r="1332" spans="1:10" ht="18.75" x14ac:dyDescent="0.3">
      <c r="A1332" s="8" t="s">
        <v>1567</v>
      </c>
      <c r="B1332" s="9" t="s">
        <v>1568</v>
      </c>
      <c r="C1332" s="9" t="s">
        <v>1518</v>
      </c>
      <c r="F1332" s="10"/>
      <c r="G1332" s="9"/>
      <c r="H1332" s="10">
        <v>279</v>
      </c>
      <c r="I1332" s="12">
        <f>H1332*(1-'[1]Discounts page'!D$22)</f>
        <v>167.4</v>
      </c>
      <c r="J1332" s="55">
        <f t="shared" si="36"/>
        <v>252</v>
      </c>
    </row>
    <row r="1333" spans="1:10" ht="18.75" x14ac:dyDescent="0.3">
      <c r="A1333" s="8" t="s">
        <v>1569</v>
      </c>
      <c r="B1333" s="9" t="s">
        <v>1570</v>
      </c>
      <c r="C1333" s="9" t="s">
        <v>1518</v>
      </c>
      <c r="F1333" s="10"/>
      <c r="G1333" s="9"/>
      <c r="H1333" s="10">
        <v>12</v>
      </c>
      <c r="I1333" s="12">
        <f>H1333*(1-'[1]Discounts page'!D$22)</f>
        <v>7.1999999999999993</v>
      </c>
      <c r="J1333" s="55">
        <f t="shared" si="36"/>
        <v>11</v>
      </c>
    </row>
    <row r="1334" spans="1:10" ht="18.75" x14ac:dyDescent="0.3">
      <c r="A1334" s="8" t="s">
        <v>1571</v>
      </c>
      <c r="B1334" s="9" t="s">
        <v>1572</v>
      </c>
      <c r="C1334" s="9" t="s">
        <v>1518</v>
      </c>
      <c r="F1334" s="10"/>
      <c r="G1334" s="9"/>
      <c r="H1334" s="10">
        <v>22.3</v>
      </c>
      <c r="I1334" s="12">
        <f>H1334*(1-'[1]Discounts page'!D$22)</f>
        <v>13.38</v>
      </c>
      <c r="J1334" s="55">
        <f t="shared" si="36"/>
        <v>21</v>
      </c>
    </row>
    <row r="1335" spans="1:10" ht="18.75" x14ac:dyDescent="0.3">
      <c r="A1335" s="8" t="s">
        <v>1573</v>
      </c>
      <c r="B1335" s="9" t="s">
        <v>1574</v>
      </c>
      <c r="C1335" s="9" t="s">
        <v>1518</v>
      </c>
      <c r="F1335" s="10"/>
      <c r="G1335" s="9"/>
      <c r="H1335" s="10">
        <v>43.5</v>
      </c>
      <c r="I1335" s="12">
        <f>H1335*(1-'[1]Discounts page'!D$22)</f>
        <v>26.099999999999998</v>
      </c>
      <c r="J1335" s="55">
        <f t="shared" si="36"/>
        <v>40</v>
      </c>
    </row>
    <row r="1336" spans="1:10" ht="18.75" x14ac:dyDescent="0.3">
      <c r="A1336" s="20"/>
      <c r="B1336" s="8"/>
      <c r="C1336" s="9"/>
      <c r="F1336" s="10"/>
      <c r="G1336" s="9"/>
      <c r="H1336" s="10"/>
      <c r="I1336" s="12"/>
      <c r="J1336" s="55">
        <f t="shared" si="36"/>
        <v>0</v>
      </c>
    </row>
    <row r="1337" spans="1:10" ht="18.75" x14ac:dyDescent="0.3">
      <c r="A1337" s="16" t="s">
        <v>1575</v>
      </c>
      <c r="B1337" s="9"/>
      <c r="C1337" s="9"/>
      <c r="F1337" s="10"/>
      <c r="G1337" s="9"/>
      <c r="H1337" s="10"/>
      <c r="I1337" s="12"/>
      <c r="J1337" s="55">
        <f t="shared" ref="J1337:J1400" si="37">ROUNDUP(I1337*1.5,0)</f>
        <v>0</v>
      </c>
    </row>
    <row r="1338" spans="1:10" ht="18.75" x14ac:dyDescent="0.3">
      <c r="A1338" s="8" t="s">
        <v>1576</v>
      </c>
      <c r="B1338" s="9" t="s">
        <v>1577</v>
      </c>
      <c r="C1338" s="9" t="s">
        <v>1518</v>
      </c>
      <c r="F1338" s="10"/>
      <c r="G1338" s="9"/>
      <c r="H1338" s="10">
        <v>182.4</v>
      </c>
      <c r="I1338" s="12">
        <f>H1338*(1-'[1]Discounts page'!D$22)</f>
        <v>109.44</v>
      </c>
      <c r="J1338" s="55">
        <f t="shared" si="37"/>
        <v>165</v>
      </c>
    </row>
    <row r="1339" spans="1:10" ht="18.75" x14ac:dyDescent="0.3">
      <c r="A1339" s="8" t="s">
        <v>1578</v>
      </c>
      <c r="B1339" s="9" t="s">
        <v>1579</v>
      </c>
      <c r="C1339" s="9" t="s">
        <v>1518</v>
      </c>
      <c r="F1339" s="10"/>
      <c r="G1339" s="9"/>
      <c r="H1339" s="10">
        <v>182.4</v>
      </c>
      <c r="I1339" s="12">
        <f>H1339*(1-'[1]Discounts page'!D$22)</f>
        <v>109.44</v>
      </c>
      <c r="J1339" s="55">
        <f t="shared" si="37"/>
        <v>165</v>
      </c>
    </row>
    <row r="1340" spans="1:10" ht="18.75" x14ac:dyDescent="0.3">
      <c r="A1340" s="8" t="s">
        <v>1580</v>
      </c>
      <c r="B1340" s="9" t="s">
        <v>1581</v>
      </c>
      <c r="C1340" s="9" t="s">
        <v>1518</v>
      </c>
      <c r="F1340" s="10"/>
      <c r="G1340" s="9"/>
      <c r="H1340" s="10">
        <v>182.4</v>
      </c>
      <c r="I1340" s="12">
        <f>H1340*(1-'[1]Discounts page'!D$22)</f>
        <v>109.44</v>
      </c>
      <c r="J1340" s="55">
        <f t="shared" si="37"/>
        <v>165</v>
      </c>
    </row>
    <row r="1341" spans="1:10" ht="18.75" x14ac:dyDescent="0.3">
      <c r="A1341" s="8" t="s">
        <v>1582</v>
      </c>
      <c r="B1341" s="9" t="s">
        <v>1583</v>
      </c>
      <c r="C1341" s="9" t="s">
        <v>1518</v>
      </c>
      <c r="F1341" s="10"/>
      <c r="G1341" s="9"/>
      <c r="H1341" s="10">
        <v>182.4</v>
      </c>
      <c r="I1341" s="12">
        <f>H1341*(1-'[1]Discounts page'!D$22)</f>
        <v>109.44</v>
      </c>
      <c r="J1341" s="55">
        <f t="shared" si="37"/>
        <v>165</v>
      </c>
    </row>
    <row r="1342" spans="1:10" ht="18.75" x14ac:dyDescent="0.3">
      <c r="A1342" s="8" t="s">
        <v>1584</v>
      </c>
      <c r="B1342" s="9" t="s">
        <v>1585</v>
      </c>
      <c r="C1342" s="9" t="s">
        <v>1518</v>
      </c>
      <c r="F1342" s="10"/>
      <c r="G1342" s="9"/>
      <c r="H1342" s="10">
        <v>182.4</v>
      </c>
      <c r="I1342" s="12">
        <f>H1342*(1-'[1]Discounts page'!D$22)</f>
        <v>109.44</v>
      </c>
      <c r="J1342" s="55">
        <f t="shared" si="37"/>
        <v>165</v>
      </c>
    </row>
    <row r="1343" spans="1:10" ht="18.75" x14ac:dyDescent="0.3">
      <c r="A1343" s="8" t="s">
        <v>1586</v>
      </c>
      <c r="B1343" s="9" t="s">
        <v>1587</v>
      </c>
      <c r="C1343" s="9" t="s">
        <v>1518</v>
      </c>
      <c r="F1343" s="10"/>
      <c r="G1343" s="9"/>
      <c r="H1343" s="10">
        <v>182.4</v>
      </c>
      <c r="I1343" s="12">
        <f>H1343*(1-'[1]Discounts page'!D$22)</f>
        <v>109.44</v>
      </c>
      <c r="J1343" s="55">
        <f t="shared" si="37"/>
        <v>165</v>
      </c>
    </row>
    <row r="1344" spans="1:10" ht="18.75" x14ac:dyDescent="0.3">
      <c r="A1344" s="8" t="s">
        <v>1588</v>
      </c>
      <c r="B1344" s="9" t="s">
        <v>1589</v>
      </c>
      <c r="C1344" s="9" t="s">
        <v>1518</v>
      </c>
      <c r="F1344" s="10"/>
      <c r="G1344" s="9"/>
      <c r="H1344" s="10">
        <v>182.4</v>
      </c>
      <c r="I1344" s="12">
        <f>H1344*(1-'[1]Discounts page'!D$22)</f>
        <v>109.44</v>
      </c>
      <c r="J1344" s="55">
        <f t="shared" si="37"/>
        <v>165</v>
      </c>
    </row>
    <row r="1345" spans="1:10" ht="18.75" x14ac:dyDescent="0.3">
      <c r="A1345" s="8" t="s">
        <v>1590</v>
      </c>
      <c r="B1345" s="9" t="s">
        <v>1591</v>
      </c>
      <c r="C1345" s="9" t="s">
        <v>1518</v>
      </c>
      <c r="F1345" s="10"/>
      <c r="G1345" s="9"/>
      <c r="H1345" s="10">
        <v>182.4</v>
      </c>
      <c r="I1345" s="12">
        <f>H1345*(1-'[1]Discounts page'!D$22)</f>
        <v>109.44</v>
      </c>
      <c r="J1345" s="55">
        <f t="shared" si="37"/>
        <v>165</v>
      </c>
    </row>
    <row r="1346" spans="1:10" ht="18.75" x14ac:dyDescent="0.3">
      <c r="A1346" s="8" t="s">
        <v>1592</v>
      </c>
      <c r="B1346" s="9" t="s">
        <v>1593</v>
      </c>
      <c r="C1346" s="9" t="s">
        <v>1518</v>
      </c>
      <c r="F1346" s="10"/>
      <c r="G1346" s="9"/>
      <c r="H1346" s="10">
        <v>211.79999999999998</v>
      </c>
      <c r="I1346" s="12">
        <f>H1346*(1-'[1]Discounts page'!D$22)</f>
        <v>127.07999999999998</v>
      </c>
      <c r="J1346" s="55">
        <f t="shared" si="37"/>
        <v>191</v>
      </c>
    </row>
    <row r="1347" spans="1:10" ht="18.75" x14ac:dyDescent="0.3">
      <c r="A1347" s="8" t="s">
        <v>1594</v>
      </c>
      <c r="B1347" s="9" t="s">
        <v>1595</v>
      </c>
      <c r="C1347" s="9" t="s">
        <v>1518</v>
      </c>
      <c r="F1347" s="10"/>
      <c r="G1347" s="9"/>
      <c r="H1347" s="10">
        <v>211.79999999999998</v>
      </c>
      <c r="I1347" s="12">
        <f>H1347*(1-'[1]Discounts page'!D$22)</f>
        <v>127.07999999999998</v>
      </c>
      <c r="J1347" s="55">
        <f t="shared" si="37"/>
        <v>191</v>
      </c>
    </row>
    <row r="1348" spans="1:10" ht="18.75" x14ac:dyDescent="0.3">
      <c r="A1348" s="8" t="s">
        <v>1596</v>
      </c>
      <c r="B1348" s="9" t="s">
        <v>1597</v>
      </c>
      <c r="C1348" s="9" t="s">
        <v>1518</v>
      </c>
      <c r="F1348" s="10"/>
      <c r="G1348" s="9"/>
      <c r="H1348" s="10">
        <v>211.79999999999998</v>
      </c>
      <c r="I1348" s="12">
        <f>H1348*(1-'[1]Discounts page'!D$22)</f>
        <v>127.07999999999998</v>
      </c>
      <c r="J1348" s="55">
        <f t="shared" si="37"/>
        <v>191</v>
      </c>
    </row>
    <row r="1349" spans="1:10" ht="18.75" x14ac:dyDescent="0.3">
      <c r="A1349" s="8" t="s">
        <v>1598</v>
      </c>
      <c r="B1349" s="9" t="s">
        <v>1599</v>
      </c>
      <c r="C1349" s="9" t="s">
        <v>1518</v>
      </c>
      <c r="F1349" s="10"/>
      <c r="G1349" s="9"/>
      <c r="H1349" s="10">
        <v>244.79999999999998</v>
      </c>
      <c r="I1349" s="12">
        <f>H1349*(1-'[1]Discounts page'!D$22)</f>
        <v>146.88</v>
      </c>
      <c r="J1349" s="55">
        <f t="shared" si="37"/>
        <v>221</v>
      </c>
    </row>
    <row r="1350" spans="1:10" ht="18.75" x14ac:dyDescent="0.3">
      <c r="A1350" s="8" t="s">
        <v>1600</v>
      </c>
      <c r="B1350" s="9" t="s">
        <v>1601</v>
      </c>
      <c r="C1350" s="9" t="s">
        <v>1518</v>
      </c>
      <c r="F1350" s="10"/>
      <c r="G1350" s="9"/>
      <c r="H1350" s="10">
        <v>244.79999999999998</v>
      </c>
      <c r="I1350" s="12">
        <f>H1350*(1-'[1]Discounts page'!D$22)</f>
        <v>146.88</v>
      </c>
      <c r="J1350" s="55">
        <f t="shared" si="37"/>
        <v>221</v>
      </c>
    </row>
    <row r="1351" spans="1:10" ht="18.75" x14ac:dyDescent="0.3">
      <c r="A1351" s="8" t="s">
        <v>1602</v>
      </c>
      <c r="B1351" s="9" t="s">
        <v>1603</v>
      </c>
      <c r="C1351" s="9" t="s">
        <v>1518</v>
      </c>
      <c r="F1351" s="10"/>
      <c r="G1351" s="9"/>
      <c r="H1351" s="10">
        <v>244.79999999999998</v>
      </c>
      <c r="I1351" s="12">
        <f>H1351*(1-'[1]Discounts page'!D$22)</f>
        <v>146.88</v>
      </c>
      <c r="J1351" s="55">
        <f t="shared" si="37"/>
        <v>221</v>
      </c>
    </row>
    <row r="1352" spans="1:10" ht="18.75" x14ac:dyDescent="0.3">
      <c r="A1352" s="8" t="s">
        <v>1604</v>
      </c>
      <c r="B1352" s="9" t="s">
        <v>1605</v>
      </c>
      <c r="C1352" s="9" t="s">
        <v>1518</v>
      </c>
      <c r="F1352" s="10"/>
      <c r="G1352" s="9"/>
      <c r="H1352" s="10">
        <v>288</v>
      </c>
      <c r="I1352" s="12">
        <f>H1352*(1-'[1]Discounts page'!D$22)</f>
        <v>172.79999999999998</v>
      </c>
      <c r="J1352" s="55">
        <f t="shared" si="37"/>
        <v>260</v>
      </c>
    </row>
    <row r="1353" spans="1:10" ht="18.75" x14ac:dyDescent="0.3">
      <c r="A1353" s="8" t="s">
        <v>1606</v>
      </c>
      <c r="B1353" s="9" t="s">
        <v>1607</v>
      </c>
      <c r="C1353" s="9" t="s">
        <v>1518</v>
      </c>
      <c r="F1353" s="10"/>
      <c r="G1353" s="9"/>
      <c r="H1353" s="10">
        <v>288</v>
      </c>
      <c r="I1353" s="12">
        <f>H1353*(1-'[1]Discounts page'!D$22)</f>
        <v>172.79999999999998</v>
      </c>
      <c r="J1353" s="55">
        <f t="shared" si="37"/>
        <v>260</v>
      </c>
    </row>
    <row r="1354" spans="1:10" ht="18.75" x14ac:dyDescent="0.3">
      <c r="A1354" s="8" t="s">
        <v>1608</v>
      </c>
      <c r="B1354" s="9" t="s">
        <v>1609</v>
      </c>
      <c r="C1354" s="9" t="s">
        <v>1518</v>
      </c>
      <c r="F1354" s="10"/>
      <c r="G1354" s="9"/>
      <c r="H1354" s="10">
        <v>288</v>
      </c>
      <c r="I1354" s="12">
        <f>H1354*(1-'[1]Discounts page'!D$22)</f>
        <v>172.79999999999998</v>
      </c>
      <c r="J1354" s="55">
        <f t="shared" si="37"/>
        <v>260</v>
      </c>
    </row>
    <row r="1355" spans="1:10" ht="18.75" x14ac:dyDescent="0.3">
      <c r="A1355" s="8" t="s">
        <v>1610</v>
      </c>
      <c r="B1355" s="9" t="s">
        <v>1611</v>
      </c>
      <c r="C1355" s="9" t="s">
        <v>1518</v>
      </c>
      <c r="F1355" s="10"/>
      <c r="G1355" s="9"/>
      <c r="H1355" s="10">
        <v>336</v>
      </c>
      <c r="I1355" s="12">
        <f>H1355*(1-'[1]Discounts page'!D$22)</f>
        <v>201.6</v>
      </c>
      <c r="J1355" s="55">
        <f t="shared" si="37"/>
        <v>303</v>
      </c>
    </row>
    <row r="1356" spans="1:10" ht="18.75" x14ac:dyDescent="0.3">
      <c r="A1356" s="8" t="s">
        <v>1612</v>
      </c>
      <c r="B1356" s="9" t="s">
        <v>1613</v>
      </c>
      <c r="C1356" s="9" t="s">
        <v>1518</v>
      </c>
      <c r="F1356" s="10"/>
      <c r="G1356" s="9"/>
      <c r="H1356" s="10">
        <v>336</v>
      </c>
      <c r="I1356" s="12">
        <f>H1356*(1-'[1]Discounts page'!D$22)</f>
        <v>201.6</v>
      </c>
      <c r="J1356" s="55">
        <f t="shared" si="37"/>
        <v>303</v>
      </c>
    </row>
    <row r="1357" spans="1:10" ht="18.75" x14ac:dyDescent="0.3">
      <c r="A1357" s="8" t="s">
        <v>1614</v>
      </c>
      <c r="B1357" s="9" t="s">
        <v>1615</v>
      </c>
      <c r="C1357" s="9" t="s">
        <v>1518</v>
      </c>
      <c r="F1357" s="10"/>
      <c r="G1357" s="9"/>
      <c r="H1357" s="10">
        <v>336</v>
      </c>
      <c r="I1357" s="12">
        <f>H1357*(1-'[1]Discounts page'!D$22)</f>
        <v>201.6</v>
      </c>
      <c r="J1357" s="55">
        <f t="shared" si="37"/>
        <v>303</v>
      </c>
    </row>
    <row r="1358" spans="1:10" ht="18.75" x14ac:dyDescent="0.3">
      <c r="A1358" s="8" t="s">
        <v>1616</v>
      </c>
      <c r="B1358" s="9" t="s">
        <v>1617</v>
      </c>
      <c r="C1358" s="9" t="s">
        <v>1518</v>
      </c>
      <c r="F1358" s="10"/>
      <c r="G1358" s="9"/>
      <c r="H1358" s="10">
        <v>384</v>
      </c>
      <c r="I1358" s="12">
        <f>H1358*(1-'[1]Discounts page'!D$22)</f>
        <v>230.39999999999998</v>
      </c>
      <c r="J1358" s="55">
        <f t="shared" si="37"/>
        <v>346</v>
      </c>
    </row>
    <row r="1359" spans="1:10" ht="18.75" x14ac:dyDescent="0.3">
      <c r="A1359" s="8" t="s">
        <v>1618</v>
      </c>
      <c r="B1359" s="9" t="s">
        <v>1619</v>
      </c>
      <c r="C1359" s="9" t="s">
        <v>1518</v>
      </c>
      <c r="F1359" s="10"/>
      <c r="G1359" s="9"/>
      <c r="H1359" s="10">
        <v>384</v>
      </c>
      <c r="I1359" s="12">
        <f>H1359*(1-'[1]Discounts page'!D$22)</f>
        <v>230.39999999999998</v>
      </c>
      <c r="J1359" s="55">
        <f t="shared" si="37"/>
        <v>346</v>
      </c>
    </row>
    <row r="1360" spans="1:10" ht="18.75" x14ac:dyDescent="0.3">
      <c r="A1360" s="8" t="s">
        <v>1620</v>
      </c>
      <c r="B1360" s="9" t="s">
        <v>1621</v>
      </c>
      <c r="C1360" s="9" t="s">
        <v>1518</v>
      </c>
      <c r="F1360" s="10"/>
      <c r="G1360" s="9"/>
      <c r="H1360" s="10">
        <v>437.70000000000005</v>
      </c>
      <c r="I1360" s="12">
        <f>H1360*(1-'[1]Discounts page'!D$22)</f>
        <v>262.62</v>
      </c>
      <c r="J1360" s="55">
        <f t="shared" si="37"/>
        <v>394</v>
      </c>
    </row>
    <row r="1361" spans="1:10" ht="18.75" x14ac:dyDescent="0.3">
      <c r="A1361" s="8" t="s">
        <v>1622</v>
      </c>
      <c r="B1361" s="9" t="s">
        <v>1623</v>
      </c>
      <c r="C1361" s="9" t="s">
        <v>1518</v>
      </c>
      <c r="F1361" s="10"/>
      <c r="G1361" s="9"/>
      <c r="H1361" s="10">
        <v>437.70000000000005</v>
      </c>
      <c r="I1361" s="12">
        <f>H1361*(1-'[1]Discounts page'!D$22)</f>
        <v>262.62</v>
      </c>
      <c r="J1361" s="55">
        <f t="shared" si="37"/>
        <v>394</v>
      </c>
    </row>
    <row r="1362" spans="1:10" ht="18.75" x14ac:dyDescent="0.3">
      <c r="A1362" s="8" t="s">
        <v>1624</v>
      </c>
      <c r="B1362" s="9" t="s">
        <v>1625</v>
      </c>
      <c r="C1362" s="9" t="s">
        <v>1518</v>
      </c>
      <c r="F1362" s="10"/>
      <c r="G1362" s="9"/>
      <c r="H1362" s="10">
        <v>536.5</v>
      </c>
      <c r="I1362" s="12">
        <f>H1362*(1-'[1]Discounts page'!D$22)</f>
        <v>321.89999999999998</v>
      </c>
      <c r="J1362" s="55">
        <f t="shared" si="37"/>
        <v>483</v>
      </c>
    </row>
    <row r="1363" spans="1:10" ht="18.75" x14ac:dyDescent="0.3">
      <c r="A1363" s="8" t="s">
        <v>1626</v>
      </c>
      <c r="B1363" s="9" t="s">
        <v>1627</v>
      </c>
      <c r="C1363" s="9" t="s">
        <v>1518</v>
      </c>
      <c r="F1363" s="10"/>
      <c r="G1363" s="9"/>
      <c r="H1363" s="10">
        <v>536.5</v>
      </c>
      <c r="I1363" s="12">
        <f>H1363*(1-'[1]Discounts page'!D$22)</f>
        <v>321.89999999999998</v>
      </c>
      <c r="J1363" s="55">
        <f t="shared" si="37"/>
        <v>483</v>
      </c>
    </row>
    <row r="1364" spans="1:10" ht="18.75" x14ac:dyDescent="0.3">
      <c r="A1364" s="8" t="s">
        <v>1628</v>
      </c>
      <c r="B1364" s="9" t="s">
        <v>1629</v>
      </c>
      <c r="C1364" s="9" t="s">
        <v>1518</v>
      </c>
      <c r="F1364" s="10"/>
      <c r="G1364" s="9"/>
      <c r="H1364" s="10">
        <v>669.2</v>
      </c>
      <c r="I1364" s="12">
        <f>H1364*(1-'[1]Discounts page'!D$22)</f>
        <v>401.52000000000004</v>
      </c>
      <c r="J1364" s="55">
        <f t="shared" si="37"/>
        <v>603</v>
      </c>
    </row>
    <row r="1365" spans="1:10" ht="18.75" x14ac:dyDescent="0.3">
      <c r="A1365" s="8" t="s">
        <v>1630</v>
      </c>
      <c r="B1365" s="9" t="s">
        <v>1631</v>
      </c>
      <c r="C1365" s="9" t="s">
        <v>1518</v>
      </c>
      <c r="F1365" s="10"/>
      <c r="G1365" s="9"/>
      <c r="H1365" s="10">
        <v>773.6</v>
      </c>
      <c r="I1365" s="12">
        <f>H1365*(1-'[1]Discounts page'!D$22)</f>
        <v>464.15999999999997</v>
      </c>
      <c r="J1365" s="55">
        <f t="shared" si="37"/>
        <v>697</v>
      </c>
    </row>
    <row r="1366" spans="1:10" ht="18.75" x14ac:dyDescent="0.3">
      <c r="A1366" s="8" t="s">
        <v>1632</v>
      </c>
      <c r="B1366" s="9" t="s">
        <v>1633</v>
      </c>
      <c r="C1366" s="9" t="s">
        <v>1518</v>
      </c>
      <c r="F1366" s="10"/>
      <c r="G1366" s="9"/>
      <c r="H1366" s="10">
        <v>773.6</v>
      </c>
      <c r="I1366" s="12">
        <f>H1366*(1-'[1]Discounts page'!D$22)</f>
        <v>464.15999999999997</v>
      </c>
      <c r="J1366" s="55">
        <f t="shared" si="37"/>
        <v>697</v>
      </c>
    </row>
    <row r="1367" spans="1:10" ht="18.75" x14ac:dyDescent="0.3">
      <c r="A1367" s="8" t="s">
        <v>1634</v>
      </c>
      <c r="B1367" s="9" t="s">
        <v>1635</v>
      </c>
      <c r="C1367" s="9" t="s">
        <v>1518</v>
      </c>
      <c r="F1367" s="10"/>
      <c r="G1367" s="9"/>
      <c r="H1367" s="10">
        <v>858.30000000000007</v>
      </c>
      <c r="I1367" s="12">
        <f>H1367*(1-'[1]Discounts page'!D$22)</f>
        <v>514.98</v>
      </c>
      <c r="J1367" s="55">
        <f t="shared" si="37"/>
        <v>773</v>
      </c>
    </row>
    <row r="1368" spans="1:10" ht="18.75" x14ac:dyDescent="0.3">
      <c r="A1368" s="8" t="s">
        <v>1636</v>
      </c>
      <c r="B1368" s="9" t="s">
        <v>1637</v>
      </c>
      <c r="C1368" s="9" t="s">
        <v>1518</v>
      </c>
      <c r="F1368" s="10"/>
      <c r="G1368" s="9"/>
      <c r="H1368" s="10">
        <v>923.30000000000007</v>
      </c>
      <c r="I1368" s="12">
        <f>H1368*(1-'[1]Discounts page'!D$22)</f>
        <v>553.98</v>
      </c>
      <c r="J1368" s="55">
        <f t="shared" si="37"/>
        <v>831</v>
      </c>
    </row>
    <row r="1369" spans="1:10" ht="18.75" x14ac:dyDescent="0.3">
      <c r="A1369" s="8" t="s">
        <v>1638</v>
      </c>
      <c r="B1369" s="9" t="s">
        <v>1639</v>
      </c>
      <c r="C1369" s="9" t="s">
        <v>1518</v>
      </c>
      <c r="F1369" s="10"/>
      <c r="G1369" s="9"/>
      <c r="H1369" s="10">
        <v>1044.6999999999998</v>
      </c>
      <c r="I1369" s="12">
        <f>H1369*(1-'[1]Discounts page'!D$22)</f>
        <v>626.81999999999982</v>
      </c>
      <c r="J1369" s="55">
        <f t="shared" si="37"/>
        <v>941</v>
      </c>
    </row>
    <row r="1370" spans="1:10" ht="18.75" x14ac:dyDescent="0.3">
      <c r="A1370" s="8"/>
      <c r="B1370" s="9"/>
      <c r="C1370" s="9"/>
      <c r="F1370" s="10"/>
      <c r="G1370" s="9"/>
      <c r="H1370" s="10"/>
      <c r="I1370" s="12"/>
      <c r="J1370" s="55">
        <f t="shared" si="37"/>
        <v>0</v>
      </c>
    </row>
    <row r="1371" spans="1:10" ht="18.75" x14ac:dyDescent="0.3">
      <c r="A1371" s="20" t="s">
        <v>1640</v>
      </c>
      <c r="B1371" s="8"/>
      <c r="C1371" s="9"/>
      <c r="F1371" s="10"/>
      <c r="G1371" s="9"/>
      <c r="H1371" s="10"/>
      <c r="I1371" s="12"/>
      <c r="J1371" s="55">
        <f t="shared" si="37"/>
        <v>0</v>
      </c>
    </row>
    <row r="1372" spans="1:10" ht="18.75" x14ac:dyDescent="0.3">
      <c r="A1372" s="8" t="s">
        <v>1641</v>
      </c>
      <c r="B1372" s="9" t="s">
        <v>1642</v>
      </c>
      <c r="C1372" s="9" t="s">
        <v>1518</v>
      </c>
      <c r="F1372" s="10"/>
      <c r="G1372" s="9"/>
      <c r="H1372" s="10">
        <v>160.5</v>
      </c>
      <c r="I1372" s="12">
        <f>H1372*(1-'[1]Discounts page'!D$22)</f>
        <v>96.3</v>
      </c>
      <c r="J1372" s="55">
        <f t="shared" si="37"/>
        <v>145</v>
      </c>
    </row>
    <row r="1373" spans="1:10" ht="18.75" x14ac:dyDescent="0.3">
      <c r="A1373" s="8" t="s">
        <v>1643</v>
      </c>
      <c r="B1373" s="9" t="s">
        <v>1644</v>
      </c>
      <c r="C1373" s="9" t="s">
        <v>1518</v>
      </c>
      <c r="F1373" s="10"/>
      <c r="G1373" s="9"/>
      <c r="H1373" s="10">
        <v>164.2</v>
      </c>
      <c r="I1373" s="12">
        <f>H1373*(1-'[1]Discounts page'!D$22)</f>
        <v>98.52</v>
      </c>
      <c r="J1373" s="55">
        <f t="shared" si="37"/>
        <v>148</v>
      </c>
    </row>
    <row r="1374" spans="1:10" ht="18.75" x14ac:dyDescent="0.3">
      <c r="A1374" s="8" t="s">
        <v>1645</v>
      </c>
      <c r="B1374" s="9" t="s">
        <v>1646</v>
      </c>
      <c r="C1374" s="9" t="s">
        <v>1518</v>
      </c>
      <c r="F1374" s="10"/>
      <c r="G1374" s="9"/>
      <c r="H1374" s="10">
        <v>171.6</v>
      </c>
      <c r="I1374" s="12">
        <f>H1374*(1-'[1]Discounts page'!D$22)</f>
        <v>102.96</v>
      </c>
      <c r="J1374" s="55">
        <f t="shared" si="37"/>
        <v>155</v>
      </c>
    </row>
    <row r="1375" spans="1:10" ht="18.75" x14ac:dyDescent="0.3">
      <c r="A1375" s="8" t="s">
        <v>1647</v>
      </c>
      <c r="B1375" s="9" t="s">
        <v>1648</v>
      </c>
      <c r="C1375" s="9" t="s">
        <v>1518</v>
      </c>
      <c r="F1375" s="10"/>
      <c r="G1375" s="9"/>
      <c r="H1375" s="10">
        <v>177.5</v>
      </c>
      <c r="I1375" s="12">
        <f>H1375*(1-'[1]Discounts page'!D$22)</f>
        <v>106.5</v>
      </c>
      <c r="J1375" s="55">
        <f t="shared" si="37"/>
        <v>160</v>
      </c>
    </row>
    <row r="1376" spans="1:10" ht="18.75" x14ac:dyDescent="0.3">
      <c r="A1376" s="8" t="s">
        <v>1649</v>
      </c>
      <c r="B1376" s="9" t="s">
        <v>1650</v>
      </c>
      <c r="C1376" s="9" t="s">
        <v>1518</v>
      </c>
      <c r="F1376" s="10"/>
      <c r="G1376" s="9"/>
      <c r="H1376" s="10">
        <v>181.5</v>
      </c>
      <c r="I1376" s="12">
        <f>H1376*(1-'[1]Discounts page'!D$22)</f>
        <v>108.89999999999999</v>
      </c>
      <c r="J1376" s="55">
        <f t="shared" si="37"/>
        <v>164</v>
      </c>
    </row>
    <row r="1377" spans="1:10" ht="18.75" x14ac:dyDescent="0.3">
      <c r="A1377" s="8" t="s">
        <v>1651</v>
      </c>
      <c r="B1377" s="9" t="s">
        <v>1652</v>
      </c>
      <c r="C1377" s="9" t="s">
        <v>1518</v>
      </c>
      <c r="F1377" s="10"/>
      <c r="G1377" s="9"/>
      <c r="H1377" s="10">
        <v>188.9</v>
      </c>
      <c r="I1377" s="12">
        <f>H1377*(1-'[1]Discounts page'!D$22)</f>
        <v>113.34</v>
      </c>
      <c r="J1377" s="55">
        <f t="shared" si="37"/>
        <v>171</v>
      </c>
    </row>
    <row r="1378" spans="1:10" ht="18.75" x14ac:dyDescent="0.3">
      <c r="A1378" s="8" t="s">
        <v>1653</v>
      </c>
      <c r="B1378" s="9" t="s">
        <v>1654</v>
      </c>
      <c r="C1378" s="9" t="s">
        <v>1518</v>
      </c>
      <c r="F1378" s="10"/>
      <c r="G1378" s="9"/>
      <c r="H1378" s="10">
        <v>194.9</v>
      </c>
      <c r="I1378" s="12">
        <f>H1378*(1-'[1]Discounts page'!D$22)</f>
        <v>116.94</v>
      </c>
      <c r="J1378" s="55">
        <f t="shared" si="37"/>
        <v>176</v>
      </c>
    </row>
    <row r="1379" spans="1:10" ht="18.75" x14ac:dyDescent="0.3">
      <c r="A1379" s="8" t="s">
        <v>1655</v>
      </c>
      <c r="B1379" s="9" t="s">
        <v>1656</v>
      </c>
      <c r="C1379" s="9" t="s">
        <v>1518</v>
      </c>
      <c r="F1379" s="10"/>
      <c r="G1379" s="9"/>
      <c r="H1379" s="10">
        <v>228.79999999999998</v>
      </c>
      <c r="I1379" s="12">
        <f>H1379*(1-'[1]Discounts page'!D$22)</f>
        <v>137.27999999999997</v>
      </c>
      <c r="J1379" s="55">
        <f t="shared" si="37"/>
        <v>206</v>
      </c>
    </row>
    <row r="1380" spans="1:10" ht="18.75" x14ac:dyDescent="0.3">
      <c r="A1380" s="8" t="s">
        <v>1657</v>
      </c>
      <c r="B1380" s="9" t="s">
        <v>1658</v>
      </c>
      <c r="C1380" s="9" t="s">
        <v>1518</v>
      </c>
      <c r="F1380" s="10"/>
      <c r="G1380" s="9"/>
      <c r="H1380" s="10">
        <v>225.2</v>
      </c>
      <c r="I1380" s="12">
        <f>H1380*(1-'[1]Discounts page'!D$22)</f>
        <v>135.11999999999998</v>
      </c>
      <c r="J1380" s="55">
        <f t="shared" si="37"/>
        <v>203</v>
      </c>
    </row>
    <row r="1381" spans="1:10" ht="18.75" x14ac:dyDescent="0.3">
      <c r="A1381" s="8" t="s">
        <v>1659</v>
      </c>
      <c r="B1381" s="9" t="s">
        <v>1660</v>
      </c>
      <c r="C1381" s="9" t="s">
        <v>1518</v>
      </c>
      <c r="F1381" s="10"/>
      <c r="G1381" s="9"/>
      <c r="H1381" s="10">
        <v>240.29999999999998</v>
      </c>
      <c r="I1381" s="12">
        <f>H1381*(1-'[1]Discounts page'!D$22)</f>
        <v>144.17999999999998</v>
      </c>
      <c r="J1381" s="55">
        <f t="shared" si="37"/>
        <v>217</v>
      </c>
    </row>
    <row r="1382" spans="1:10" ht="18.75" x14ac:dyDescent="0.3">
      <c r="A1382" s="8" t="s">
        <v>1661</v>
      </c>
      <c r="B1382" s="9" t="s">
        <v>1662</v>
      </c>
      <c r="C1382" s="9" t="s">
        <v>1518</v>
      </c>
      <c r="F1382" s="10"/>
      <c r="G1382" s="9"/>
      <c r="H1382" s="10">
        <v>242.2</v>
      </c>
      <c r="I1382" s="12">
        <f>H1382*(1-'[1]Discounts page'!D$22)</f>
        <v>145.32</v>
      </c>
      <c r="J1382" s="55">
        <f t="shared" si="37"/>
        <v>218</v>
      </c>
    </row>
    <row r="1383" spans="1:10" ht="18.75" x14ac:dyDescent="0.3">
      <c r="A1383" s="8" t="s">
        <v>1663</v>
      </c>
      <c r="B1383" s="9" t="s">
        <v>1664</v>
      </c>
      <c r="C1383" s="9" t="s">
        <v>1518</v>
      </c>
      <c r="F1383" s="10"/>
      <c r="G1383" s="9"/>
      <c r="H1383" s="10">
        <v>261.10000000000002</v>
      </c>
      <c r="I1383" s="12">
        <f>H1383*(1-'[1]Discounts page'!D$22)</f>
        <v>156.66</v>
      </c>
      <c r="J1383" s="55">
        <f t="shared" si="37"/>
        <v>235</v>
      </c>
    </row>
    <row r="1384" spans="1:10" ht="18.75" x14ac:dyDescent="0.3">
      <c r="A1384" s="8" t="s">
        <v>1665</v>
      </c>
      <c r="B1384" s="9" t="s">
        <v>1666</v>
      </c>
      <c r="C1384" s="9" t="s">
        <v>1518</v>
      </c>
      <c r="F1384" s="10"/>
      <c r="G1384" s="9"/>
      <c r="H1384" s="10">
        <v>246.1</v>
      </c>
      <c r="I1384" s="12">
        <f>H1384*(1-'[1]Discounts page'!D$22)</f>
        <v>147.66</v>
      </c>
      <c r="J1384" s="55">
        <f t="shared" si="37"/>
        <v>222</v>
      </c>
    </row>
    <row r="1385" spans="1:10" ht="18.75" x14ac:dyDescent="0.3">
      <c r="A1385" s="8" t="s">
        <v>1667</v>
      </c>
      <c r="B1385" s="9" t="s">
        <v>1668</v>
      </c>
      <c r="C1385" s="9" t="s">
        <v>1518</v>
      </c>
      <c r="F1385" s="10"/>
      <c r="G1385" s="9"/>
      <c r="H1385" s="10">
        <v>283.90000000000003</v>
      </c>
      <c r="I1385" s="12">
        <f>H1385*(1-'[1]Discounts page'!D$22)</f>
        <v>170.34</v>
      </c>
      <c r="J1385" s="55">
        <f t="shared" si="37"/>
        <v>256</v>
      </c>
    </row>
    <row r="1386" spans="1:10" ht="18.75" x14ac:dyDescent="0.3">
      <c r="A1386" s="8" t="s">
        <v>1669</v>
      </c>
      <c r="B1386" s="9" t="s">
        <v>1670</v>
      </c>
      <c r="C1386" s="9" t="s">
        <v>1518</v>
      </c>
      <c r="F1386" s="10"/>
      <c r="G1386" s="9"/>
      <c r="H1386" s="10">
        <v>283.90000000000003</v>
      </c>
      <c r="I1386" s="12">
        <f>H1386*(1-'[1]Discounts page'!D$22)</f>
        <v>170.34</v>
      </c>
      <c r="J1386" s="55">
        <f t="shared" si="37"/>
        <v>256</v>
      </c>
    </row>
    <row r="1387" spans="1:10" ht="18.75" x14ac:dyDescent="0.3">
      <c r="A1387" s="8" t="s">
        <v>1671</v>
      </c>
      <c r="B1387" s="9" t="s">
        <v>1672</v>
      </c>
      <c r="C1387" s="9" t="s">
        <v>1518</v>
      </c>
      <c r="F1387" s="10"/>
      <c r="G1387" s="9"/>
      <c r="H1387" s="10">
        <v>249.9</v>
      </c>
      <c r="I1387" s="12">
        <f>H1387*(1-'[1]Discounts page'!D$22)</f>
        <v>149.94</v>
      </c>
      <c r="J1387" s="55">
        <f t="shared" si="37"/>
        <v>225</v>
      </c>
    </row>
    <row r="1388" spans="1:10" ht="18.75" x14ac:dyDescent="0.3">
      <c r="A1388" s="8" t="s">
        <v>1673</v>
      </c>
      <c r="B1388" s="9" t="s">
        <v>1674</v>
      </c>
      <c r="C1388" s="9" t="s">
        <v>1518</v>
      </c>
      <c r="F1388" s="10"/>
      <c r="G1388" s="9"/>
      <c r="H1388" s="10">
        <v>265</v>
      </c>
      <c r="I1388" s="12">
        <f>H1388*(1-'[1]Discounts page'!D$22)</f>
        <v>159</v>
      </c>
      <c r="J1388" s="55">
        <f t="shared" si="37"/>
        <v>239</v>
      </c>
    </row>
    <row r="1389" spans="1:10" ht="18.75" x14ac:dyDescent="0.3">
      <c r="A1389" s="8" t="s">
        <v>1675</v>
      </c>
      <c r="B1389" s="9" t="s">
        <v>1676</v>
      </c>
      <c r="C1389" s="9" t="s">
        <v>1518</v>
      </c>
      <c r="F1389" s="10"/>
      <c r="G1389" s="9"/>
      <c r="H1389" s="10">
        <v>282.3</v>
      </c>
      <c r="I1389" s="12">
        <f>H1389*(1-'[1]Discounts page'!D$22)</f>
        <v>169.38</v>
      </c>
      <c r="J1389" s="55">
        <f t="shared" si="37"/>
        <v>255</v>
      </c>
    </row>
    <row r="1390" spans="1:10" ht="18.75" x14ac:dyDescent="0.3">
      <c r="A1390" s="8" t="s">
        <v>1677</v>
      </c>
      <c r="B1390" s="9" t="s">
        <v>1678</v>
      </c>
      <c r="C1390" s="9" t="s">
        <v>1518</v>
      </c>
      <c r="F1390" s="10"/>
      <c r="G1390" s="9"/>
      <c r="H1390" s="10">
        <v>342.5</v>
      </c>
      <c r="I1390" s="12">
        <f>H1390*(1-'[1]Discounts page'!D$22)</f>
        <v>205.5</v>
      </c>
      <c r="J1390" s="55">
        <f t="shared" si="37"/>
        <v>309</v>
      </c>
    </row>
    <row r="1391" spans="1:10" ht="18.75" x14ac:dyDescent="0.3">
      <c r="A1391" s="8" t="s">
        <v>1679</v>
      </c>
      <c r="B1391" s="9" t="s">
        <v>1680</v>
      </c>
      <c r="C1391" s="9" t="s">
        <v>1518</v>
      </c>
      <c r="F1391" s="10"/>
      <c r="G1391" s="9"/>
      <c r="H1391" s="10">
        <v>342.5</v>
      </c>
      <c r="I1391" s="12">
        <f>H1391*(1-'[1]Discounts page'!D$22)</f>
        <v>205.5</v>
      </c>
      <c r="J1391" s="55">
        <f t="shared" si="37"/>
        <v>309</v>
      </c>
    </row>
    <row r="1392" spans="1:10" ht="18.75" x14ac:dyDescent="0.3">
      <c r="A1392" s="8" t="s">
        <v>1681</v>
      </c>
      <c r="B1392" s="9" t="s">
        <v>1682</v>
      </c>
      <c r="C1392" s="9" t="s">
        <v>1518</v>
      </c>
      <c r="F1392" s="10"/>
      <c r="G1392" s="9"/>
      <c r="H1392" s="10">
        <v>304.10000000000002</v>
      </c>
      <c r="I1392" s="12">
        <f>H1392*(1-'[1]Discounts page'!D$22)</f>
        <v>182.46</v>
      </c>
      <c r="J1392" s="55">
        <f t="shared" si="37"/>
        <v>274</v>
      </c>
    </row>
    <row r="1393" spans="1:10" ht="18.75" x14ac:dyDescent="0.3">
      <c r="A1393" s="8" t="s">
        <v>1683</v>
      </c>
      <c r="B1393" s="9" t="s">
        <v>1684</v>
      </c>
      <c r="C1393" s="9" t="s">
        <v>1518</v>
      </c>
      <c r="F1393" s="10"/>
      <c r="G1393" s="9"/>
      <c r="H1393" s="10">
        <v>59</v>
      </c>
      <c r="I1393" s="12">
        <f>H1393*(1-'[1]Discounts page'!D$22)</f>
        <v>35.4</v>
      </c>
      <c r="J1393" s="55">
        <f t="shared" si="37"/>
        <v>54</v>
      </c>
    </row>
    <row r="1394" spans="1:10" ht="18.75" x14ac:dyDescent="0.3">
      <c r="A1394" s="8" t="s">
        <v>1685</v>
      </c>
      <c r="B1394" s="9" t="s">
        <v>1686</v>
      </c>
      <c r="C1394" s="9" t="s">
        <v>1518</v>
      </c>
      <c r="F1394" s="10"/>
      <c r="G1394" s="9"/>
      <c r="H1394" s="10">
        <v>106.7</v>
      </c>
      <c r="I1394" s="12">
        <f>H1394*(1-'[1]Discounts page'!D$22)</f>
        <v>64.02</v>
      </c>
      <c r="J1394" s="55">
        <f t="shared" si="37"/>
        <v>97</v>
      </c>
    </row>
    <row r="1395" spans="1:10" ht="18.75" x14ac:dyDescent="0.3">
      <c r="A1395" s="8" t="s">
        <v>1687</v>
      </c>
      <c r="B1395" s="9" t="s">
        <v>1688</v>
      </c>
      <c r="C1395" s="9" t="s">
        <v>1518</v>
      </c>
      <c r="F1395" s="10"/>
      <c r="G1395" s="9"/>
      <c r="H1395" s="10">
        <v>38.4</v>
      </c>
      <c r="I1395" s="12">
        <f>H1395*(1-'[1]Discounts page'!D$22)</f>
        <v>23.04</v>
      </c>
      <c r="J1395" s="55">
        <f t="shared" si="37"/>
        <v>35</v>
      </c>
    </row>
    <row r="1396" spans="1:10" ht="18.75" x14ac:dyDescent="0.3">
      <c r="A1396" s="8" t="s">
        <v>1689</v>
      </c>
      <c r="B1396" s="9" t="s">
        <v>1690</v>
      </c>
      <c r="C1396" s="9" t="s">
        <v>1518</v>
      </c>
      <c r="F1396" s="10"/>
      <c r="G1396" s="9"/>
      <c r="H1396" s="10">
        <v>44.7</v>
      </c>
      <c r="I1396" s="12">
        <f>H1396*(1-'[1]Discounts page'!D$22)</f>
        <v>26.82</v>
      </c>
      <c r="J1396" s="55">
        <f t="shared" si="37"/>
        <v>41</v>
      </c>
    </row>
    <row r="1397" spans="1:10" ht="18.75" x14ac:dyDescent="0.3">
      <c r="A1397" s="8" t="s">
        <v>1691</v>
      </c>
      <c r="B1397" s="9" t="s">
        <v>1692</v>
      </c>
      <c r="C1397" s="9" t="s">
        <v>1518</v>
      </c>
      <c r="F1397" s="10"/>
      <c r="G1397" s="9"/>
      <c r="H1397" s="10">
        <v>40.799999999999997</v>
      </c>
      <c r="I1397" s="12">
        <f>H1397*(1-'[1]Discounts page'!D$22)</f>
        <v>24.479999999999997</v>
      </c>
      <c r="J1397" s="55">
        <f t="shared" si="37"/>
        <v>37</v>
      </c>
    </row>
    <row r="1398" spans="1:10" ht="18.75" x14ac:dyDescent="0.3">
      <c r="A1398" s="8" t="s">
        <v>1693</v>
      </c>
      <c r="B1398" s="9" t="s">
        <v>1694</v>
      </c>
      <c r="C1398" s="9" t="s">
        <v>1518</v>
      </c>
      <c r="F1398" s="10"/>
      <c r="G1398" s="9"/>
      <c r="H1398" s="10">
        <v>810.8</v>
      </c>
      <c r="I1398" s="12">
        <f>H1398*(1-'[1]Discounts page'!D$22)</f>
        <v>486.47999999999996</v>
      </c>
      <c r="J1398" s="55">
        <f t="shared" si="37"/>
        <v>730</v>
      </c>
    </row>
    <row r="1399" spans="1:10" ht="18.75" x14ac:dyDescent="0.3">
      <c r="A1399" s="8" t="s">
        <v>1695</v>
      </c>
      <c r="B1399" s="9" t="s">
        <v>1696</v>
      </c>
      <c r="C1399" s="9" t="s">
        <v>1518</v>
      </c>
      <c r="F1399" s="10"/>
      <c r="G1399" s="9"/>
      <c r="H1399" s="10">
        <v>166</v>
      </c>
      <c r="I1399" s="12">
        <f>H1399*(1-'[1]Discounts page'!D$22)</f>
        <v>99.6</v>
      </c>
      <c r="J1399" s="55">
        <f t="shared" si="37"/>
        <v>150</v>
      </c>
    </row>
    <row r="1400" spans="1:10" ht="18.75" x14ac:dyDescent="0.3">
      <c r="A1400" s="20" t="s">
        <v>1697</v>
      </c>
      <c r="B1400" s="8"/>
      <c r="C1400" s="9"/>
      <c r="F1400" s="10"/>
      <c r="G1400" s="9"/>
      <c r="H1400" s="10"/>
      <c r="I1400" s="12"/>
      <c r="J1400" s="55">
        <f t="shared" si="37"/>
        <v>0</v>
      </c>
    </row>
    <row r="1401" spans="1:10" ht="18.75" x14ac:dyDescent="0.3">
      <c r="A1401" s="8" t="s">
        <v>1698</v>
      </c>
      <c r="B1401" s="9" t="s">
        <v>1699</v>
      </c>
      <c r="C1401" s="9" t="s">
        <v>1700</v>
      </c>
      <c r="F1401" s="10"/>
      <c r="G1401" s="9"/>
      <c r="H1401" s="10">
        <v>158.9</v>
      </c>
      <c r="I1401" s="12">
        <f>H1401*(1-'[1]Discounts page'!D$23)</f>
        <v>95.34</v>
      </c>
      <c r="J1401" s="55">
        <f t="shared" ref="J1401:J1464" si="38">ROUNDUP(I1401*1.5,0)</f>
        <v>144</v>
      </c>
    </row>
    <row r="1402" spans="1:10" ht="18.75" x14ac:dyDescent="0.3">
      <c r="A1402" s="8" t="s">
        <v>1701</v>
      </c>
      <c r="B1402" s="9" t="s">
        <v>1702</v>
      </c>
      <c r="C1402" s="9" t="s">
        <v>1700</v>
      </c>
      <c r="F1402" s="10"/>
      <c r="G1402" s="9"/>
      <c r="H1402" s="10">
        <v>209.79999999999998</v>
      </c>
      <c r="I1402" s="12">
        <f>H1402*(1-'[1]Discounts page'!D$23)</f>
        <v>125.87999999999998</v>
      </c>
      <c r="J1402" s="55">
        <f t="shared" si="38"/>
        <v>189</v>
      </c>
    </row>
    <row r="1403" spans="1:10" ht="18.75" x14ac:dyDescent="0.3">
      <c r="A1403" s="8" t="s">
        <v>1703</v>
      </c>
      <c r="B1403" s="9" t="s">
        <v>1704</v>
      </c>
      <c r="C1403" s="9" t="s">
        <v>1700</v>
      </c>
      <c r="F1403" s="10"/>
      <c r="G1403" s="9"/>
      <c r="H1403" s="10">
        <v>241.9</v>
      </c>
      <c r="I1403" s="12">
        <f>H1403*(1-'[1]Discounts page'!D$23)</f>
        <v>145.13999999999999</v>
      </c>
      <c r="J1403" s="55">
        <f t="shared" si="38"/>
        <v>218</v>
      </c>
    </row>
    <row r="1404" spans="1:10" ht="18.75" x14ac:dyDescent="0.3">
      <c r="A1404" s="8" t="s">
        <v>1705</v>
      </c>
      <c r="B1404" s="9" t="s">
        <v>1706</v>
      </c>
      <c r="C1404" s="9" t="s">
        <v>1700</v>
      </c>
      <c r="F1404" s="10"/>
      <c r="G1404" s="9"/>
      <c r="H1404" s="10">
        <v>337.70000000000005</v>
      </c>
      <c r="I1404" s="12">
        <f>H1404*(1-'[1]Discounts page'!D$23)</f>
        <v>202.62000000000003</v>
      </c>
      <c r="J1404" s="55">
        <f t="shared" si="38"/>
        <v>304</v>
      </c>
    </row>
    <row r="1405" spans="1:10" ht="18.75" x14ac:dyDescent="0.3">
      <c r="A1405" s="8" t="s">
        <v>1707</v>
      </c>
      <c r="B1405" s="9" t="s">
        <v>1708</v>
      </c>
      <c r="C1405" s="9" t="s">
        <v>1700</v>
      </c>
      <c r="F1405" s="10"/>
      <c r="G1405" s="9"/>
      <c r="H1405" s="10">
        <v>17.5</v>
      </c>
      <c r="I1405" s="12">
        <f>H1405*(1-'[1]Discounts page'!D$23)</f>
        <v>10.5</v>
      </c>
      <c r="J1405" s="55">
        <f t="shared" si="38"/>
        <v>16</v>
      </c>
    </row>
    <row r="1406" spans="1:10" ht="18.75" x14ac:dyDescent="0.3">
      <c r="A1406" s="4"/>
      <c r="B1406" s="5"/>
      <c r="C1406" s="5"/>
      <c r="F1406" s="14"/>
      <c r="G1406" s="5"/>
      <c r="H1406" s="14"/>
      <c r="I1406" s="15"/>
      <c r="J1406" s="55"/>
    </row>
    <row r="1407" spans="1:10" ht="18.75" x14ac:dyDescent="0.3">
      <c r="A1407" s="6" t="s">
        <v>1709</v>
      </c>
      <c r="B1407" s="5"/>
      <c r="C1407" s="5"/>
      <c r="F1407" s="14"/>
      <c r="G1407" s="5"/>
      <c r="H1407" s="14"/>
      <c r="I1407" s="15"/>
      <c r="J1407" s="55"/>
    </row>
    <row r="1408" spans="1:10" ht="18.75" x14ac:dyDescent="0.3">
      <c r="A1408" s="16" t="s">
        <v>1710</v>
      </c>
      <c r="B1408" s="9"/>
      <c r="C1408" s="9"/>
      <c r="F1408" s="10"/>
      <c r="G1408" s="9"/>
      <c r="H1408" s="10"/>
      <c r="I1408" s="12"/>
      <c r="J1408" s="55"/>
    </row>
    <row r="1409" spans="1:10" ht="18.75" x14ac:dyDescent="0.3">
      <c r="A1409" s="8" t="s">
        <v>1711</v>
      </c>
      <c r="B1409" s="9" t="s">
        <v>1712</v>
      </c>
      <c r="C1409" s="9" t="s">
        <v>1713</v>
      </c>
      <c r="F1409" s="10"/>
      <c r="G1409" s="12"/>
      <c r="H1409" s="10">
        <v>61.4</v>
      </c>
      <c r="I1409" s="12">
        <f>H1409*(1-'[1]Discounts page'!D$24)</f>
        <v>27.629999999999995</v>
      </c>
      <c r="J1409" s="55">
        <f t="shared" si="38"/>
        <v>42</v>
      </c>
    </row>
    <row r="1410" spans="1:10" ht="18.75" x14ac:dyDescent="0.3">
      <c r="A1410" s="8" t="s">
        <v>1714</v>
      </c>
      <c r="B1410" s="9" t="s">
        <v>1715</v>
      </c>
      <c r="C1410" s="9" t="s">
        <v>1713</v>
      </c>
      <c r="F1410" s="10"/>
      <c r="G1410" s="12"/>
      <c r="H1410" s="10">
        <v>187.9</v>
      </c>
      <c r="I1410" s="12">
        <f>H1410*(1-'[1]Discounts page'!D$24)</f>
        <v>84.554999999999993</v>
      </c>
      <c r="J1410" s="55">
        <f t="shared" si="38"/>
        <v>127</v>
      </c>
    </row>
    <row r="1411" spans="1:10" ht="18.75" x14ac:dyDescent="0.3">
      <c r="A1411" s="8" t="s">
        <v>1714</v>
      </c>
      <c r="B1411" s="9" t="s">
        <v>1716</v>
      </c>
      <c r="C1411" s="9" t="s">
        <v>1713</v>
      </c>
      <c r="F1411" s="10"/>
      <c r="G1411" s="12"/>
      <c r="H1411" s="10">
        <v>155.9</v>
      </c>
      <c r="I1411" s="12">
        <f>H1411*(1-'[1]Discounts page'!D$24)</f>
        <v>70.155000000000001</v>
      </c>
      <c r="J1411" s="55">
        <f t="shared" si="38"/>
        <v>106</v>
      </c>
    </row>
    <row r="1412" spans="1:10" ht="18.75" x14ac:dyDescent="0.3">
      <c r="A1412" s="8" t="s">
        <v>1717</v>
      </c>
      <c r="B1412" s="9" t="s">
        <v>1718</v>
      </c>
      <c r="C1412" s="9" t="s">
        <v>1713</v>
      </c>
      <c r="F1412" s="10"/>
      <c r="G1412" s="12"/>
      <c r="H1412" s="10">
        <v>89.3</v>
      </c>
      <c r="I1412" s="12">
        <f>H1412*(1-'[1]Discounts page'!D$24)</f>
        <v>40.184999999999995</v>
      </c>
      <c r="J1412" s="55">
        <f t="shared" si="38"/>
        <v>61</v>
      </c>
    </row>
    <row r="1413" spans="1:10" ht="18.75" x14ac:dyDescent="0.3">
      <c r="A1413" s="8" t="s">
        <v>1719</v>
      </c>
      <c r="B1413" s="9" t="s">
        <v>1720</v>
      </c>
      <c r="C1413" s="9" t="s">
        <v>1713</v>
      </c>
      <c r="F1413" s="10"/>
      <c r="G1413" s="12"/>
      <c r="H1413" s="10">
        <v>215.29999999999998</v>
      </c>
      <c r="I1413" s="12">
        <f>H1413*(1-'[1]Discounts page'!D$24)</f>
        <v>96.884999999999977</v>
      </c>
      <c r="J1413" s="55">
        <f t="shared" si="38"/>
        <v>146</v>
      </c>
    </row>
    <row r="1414" spans="1:10" ht="18.75" x14ac:dyDescent="0.3">
      <c r="A1414" s="8" t="s">
        <v>1719</v>
      </c>
      <c r="B1414" s="9" t="s">
        <v>1721</v>
      </c>
      <c r="C1414" s="9" t="s">
        <v>1713</v>
      </c>
      <c r="F1414" s="10"/>
      <c r="G1414" s="12"/>
      <c r="H1414" s="10">
        <v>183.7</v>
      </c>
      <c r="I1414" s="12">
        <f>H1414*(1-'[1]Discounts page'!D$24)</f>
        <v>82.664999999999992</v>
      </c>
      <c r="J1414" s="55">
        <f t="shared" si="38"/>
        <v>124</v>
      </c>
    </row>
    <row r="1415" spans="1:10" ht="18.75" x14ac:dyDescent="0.3">
      <c r="A1415" s="8" t="s">
        <v>1722</v>
      </c>
      <c r="B1415" s="9" t="s">
        <v>1723</v>
      </c>
      <c r="C1415" s="9" t="s">
        <v>1713</v>
      </c>
      <c r="F1415" s="10"/>
      <c r="G1415" s="12"/>
      <c r="H1415" s="10">
        <v>117</v>
      </c>
      <c r="I1415" s="12">
        <f>H1415*(1-'[1]Discounts page'!D$24)</f>
        <v>52.649999999999991</v>
      </c>
      <c r="J1415" s="55">
        <f t="shared" si="38"/>
        <v>79</v>
      </c>
    </row>
    <row r="1416" spans="1:10" ht="18.75" x14ac:dyDescent="0.3">
      <c r="A1416" s="8" t="s">
        <v>1724</v>
      </c>
      <c r="B1416" s="9" t="s">
        <v>1725</v>
      </c>
      <c r="C1416" s="9" t="s">
        <v>1713</v>
      </c>
      <c r="F1416" s="10"/>
      <c r="G1416" s="12"/>
      <c r="H1416" s="10">
        <v>244</v>
      </c>
      <c r="I1416" s="12">
        <f>H1416*(1-'[1]Discounts page'!D$24)</f>
        <v>109.79999999999998</v>
      </c>
      <c r="J1416" s="55">
        <f t="shared" si="38"/>
        <v>165</v>
      </c>
    </row>
    <row r="1417" spans="1:10" ht="18.75" x14ac:dyDescent="0.3">
      <c r="A1417" s="8" t="s">
        <v>1724</v>
      </c>
      <c r="B1417" s="9" t="s">
        <v>1726</v>
      </c>
      <c r="C1417" s="9" t="s">
        <v>1713</v>
      </c>
      <c r="F1417" s="10"/>
      <c r="G1417" s="12"/>
      <c r="H1417" s="10">
        <v>211.9</v>
      </c>
      <c r="I1417" s="12">
        <f>H1417*(1-'[1]Discounts page'!D$24)</f>
        <v>95.35499999999999</v>
      </c>
      <c r="J1417" s="55">
        <f t="shared" si="38"/>
        <v>144</v>
      </c>
    </row>
    <row r="1418" spans="1:10" ht="18.75" x14ac:dyDescent="0.3">
      <c r="A1418" s="8" t="s">
        <v>1727</v>
      </c>
      <c r="B1418" s="9" t="s">
        <v>1728</v>
      </c>
      <c r="C1418" s="9" t="s">
        <v>1713</v>
      </c>
      <c r="F1418" s="10"/>
      <c r="G1418" s="12"/>
      <c r="H1418" s="10">
        <v>160.79999999999998</v>
      </c>
      <c r="I1418" s="12">
        <f>H1418*(1-'[1]Discounts page'!D$24)</f>
        <v>72.359999999999985</v>
      </c>
      <c r="J1418" s="55">
        <f t="shared" si="38"/>
        <v>109</v>
      </c>
    </row>
    <row r="1419" spans="1:10" ht="18.75" x14ac:dyDescent="0.3">
      <c r="A1419" s="8" t="s">
        <v>1729</v>
      </c>
      <c r="B1419" s="9" t="s">
        <v>1730</v>
      </c>
      <c r="C1419" s="9" t="s">
        <v>1713</v>
      </c>
      <c r="F1419" s="10"/>
      <c r="G1419" s="12"/>
      <c r="H1419" s="10">
        <v>287.10000000000002</v>
      </c>
      <c r="I1419" s="12">
        <f>H1419*(1-'[1]Discounts page'!D$24)</f>
        <v>129.19499999999999</v>
      </c>
      <c r="J1419" s="55">
        <f t="shared" si="38"/>
        <v>194</v>
      </c>
    </row>
    <row r="1420" spans="1:10" ht="18.75" x14ac:dyDescent="0.3">
      <c r="A1420" s="8" t="s">
        <v>1729</v>
      </c>
      <c r="B1420" s="9" t="s">
        <v>1731</v>
      </c>
      <c r="C1420" s="9" t="s">
        <v>1713</v>
      </c>
      <c r="F1420" s="10"/>
      <c r="G1420" s="9"/>
      <c r="H1420" s="10">
        <v>255.6</v>
      </c>
      <c r="I1420" s="12">
        <f>H1420*(1-'[1]Discounts page'!D$24)</f>
        <v>115.01999999999998</v>
      </c>
      <c r="J1420" s="55">
        <f t="shared" si="38"/>
        <v>173</v>
      </c>
    </row>
    <row r="1421" spans="1:10" ht="18.75" x14ac:dyDescent="0.3">
      <c r="A1421" s="8" t="s">
        <v>1732</v>
      </c>
      <c r="B1421" s="9" t="s">
        <v>1733</v>
      </c>
      <c r="C1421" s="9" t="s">
        <v>1713</v>
      </c>
      <c r="F1421" s="10"/>
      <c r="G1421" s="12"/>
      <c r="H1421" s="10">
        <v>70.3</v>
      </c>
      <c r="I1421" s="12">
        <f>H1421*(1-'[1]Discounts page'!D$24)</f>
        <v>31.634999999999994</v>
      </c>
      <c r="J1421" s="55">
        <f t="shared" si="38"/>
        <v>48</v>
      </c>
    </row>
    <row r="1422" spans="1:10" ht="18.75" x14ac:dyDescent="0.3">
      <c r="A1422" s="8" t="s">
        <v>1734</v>
      </c>
      <c r="B1422" s="9" t="s">
        <v>1735</v>
      </c>
      <c r="C1422" s="9" t="s">
        <v>1713</v>
      </c>
      <c r="F1422" s="10"/>
      <c r="G1422" s="12"/>
      <c r="H1422" s="10">
        <v>192.5</v>
      </c>
      <c r="I1422" s="12">
        <f>H1422*(1-'[1]Discounts page'!D$24)</f>
        <v>86.624999999999986</v>
      </c>
      <c r="J1422" s="55">
        <f t="shared" si="38"/>
        <v>130</v>
      </c>
    </row>
    <row r="1423" spans="1:10" ht="18.75" x14ac:dyDescent="0.3">
      <c r="A1423" s="8" t="s">
        <v>1734</v>
      </c>
      <c r="B1423" s="9" t="s">
        <v>1736</v>
      </c>
      <c r="C1423" s="9" t="s">
        <v>1713</v>
      </c>
      <c r="F1423" s="10"/>
      <c r="G1423" s="12"/>
      <c r="H1423" s="10">
        <v>170.9</v>
      </c>
      <c r="I1423" s="12">
        <f>H1423*(1-'[1]Discounts page'!D$24)</f>
        <v>76.905000000000001</v>
      </c>
      <c r="J1423" s="55">
        <f t="shared" si="38"/>
        <v>116</v>
      </c>
    </row>
    <row r="1424" spans="1:10" ht="18.75" x14ac:dyDescent="0.3">
      <c r="A1424" s="8" t="s">
        <v>1737</v>
      </c>
      <c r="B1424" s="9" t="s">
        <v>1738</v>
      </c>
      <c r="C1424" s="9" t="s">
        <v>1713</v>
      </c>
      <c r="F1424" s="10"/>
      <c r="G1424" s="12"/>
      <c r="H1424" s="10">
        <v>82.899999999999991</v>
      </c>
      <c r="I1424" s="12">
        <f>H1424*(1-'[1]Discounts page'!D$24)</f>
        <v>37.304999999999993</v>
      </c>
      <c r="J1424" s="55">
        <f t="shared" si="38"/>
        <v>56</v>
      </c>
    </row>
    <row r="1425" spans="1:10" ht="18.75" x14ac:dyDescent="0.3">
      <c r="A1425" s="8" t="s">
        <v>1739</v>
      </c>
      <c r="B1425" s="9" t="s">
        <v>1740</v>
      </c>
      <c r="C1425" s="9" t="s">
        <v>1713</v>
      </c>
      <c r="F1425" s="10"/>
      <c r="G1425" s="12"/>
      <c r="H1425" s="10">
        <v>204.5</v>
      </c>
      <c r="I1425" s="12">
        <f>H1425*(1-'[1]Discounts page'!D$24)</f>
        <v>92.024999999999991</v>
      </c>
      <c r="J1425" s="55">
        <f t="shared" si="38"/>
        <v>139</v>
      </c>
    </row>
    <row r="1426" spans="1:10" ht="18.75" x14ac:dyDescent="0.3">
      <c r="A1426" s="8" t="s">
        <v>1739</v>
      </c>
      <c r="B1426" s="9" t="s">
        <v>1741</v>
      </c>
      <c r="C1426" s="9" t="s">
        <v>1713</v>
      </c>
      <c r="F1426" s="10"/>
      <c r="G1426" s="12"/>
      <c r="H1426" s="10">
        <v>173.79999999999998</v>
      </c>
      <c r="I1426" s="12">
        <f>H1426*(1-'[1]Discounts page'!D$24)</f>
        <v>78.20999999999998</v>
      </c>
      <c r="J1426" s="55">
        <f t="shared" si="38"/>
        <v>118</v>
      </c>
    </row>
    <row r="1427" spans="1:10" ht="18.75" x14ac:dyDescent="0.3">
      <c r="A1427" s="8" t="s">
        <v>1742</v>
      </c>
      <c r="B1427" s="9" t="s">
        <v>1743</v>
      </c>
      <c r="C1427" s="9" t="s">
        <v>1713</v>
      </c>
      <c r="F1427" s="10"/>
      <c r="G1427" s="12"/>
      <c r="H1427" s="10">
        <v>99.8</v>
      </c>
      <c r="I1427" s="12">
        <f>H1427*(1-'[1]Discounts page'!D$24)</f>
        <v>44.91</v>
      </c>
      <c r="J1427" s="55">
        <f t="shared" si="38"/>
        <v>68</v>
      </c>
    </row>
    <row r="1428" spans="1:10" ht="18.75" x14ac:dyDescent="0.3">
      <c r="A1428" s="8" t="s">
        <v>1744</v>
      </c>
      <c r="B1428" s="9" t="s">
        <v>1745</v>
      </c>
      <c r="C1428" s="9" t="s">
        <v>1713</v>
      </c>
      <c r="F1428" s="10"/>
      <c r="G1428" s="12"/>
      <c r="H1428" s="10">
        <v>244</v>
      </c>
      <c r="I1428" s="12">
        <f>H1428*(1-'[1]Discounts page'!D$24)</f>
        <v>109.79999999999998</v>
      </c>
      <c r="J1428" s="55">
        <f t="shared" si="38"/>
        <v>165</v>
      </c>
    </row>
    <row r="1429" spans="1:10" ht="18.75" x14ac:dyDescent="0.3">
      <c r="A1429" s="8" t="s">
        <v>1744</v>
      </c>
      <c r="B1429" s="9" t="s">
        <v>1746</v>
      </c>
      <c r="C1429" s="9" t="s">
        <v>1713</v>
      </c>
      <c r="F1429" s="10"/>
      <c r="G1429" s="12"/>
      <c r="H1429" s="10">
        <v>211.9</v>
      </c>
      <c r="I1429" s="12">
        <f>H1429*(1-'[1]Discounts page'!D$24)</f>
        <v>95.35499999999999</v>
      </c>
      <c r="J1429" s="55">
        <f t="shared" si="38"/>
        <v>144</v>
      </c>
    </row>
    <row r="1430" spans="1:10" ht="18.75" x14ac:dyDescent="0.3">
      <c r="A1430" s="8" t="s">
        <v>1747</v>
      </c>
      <c r="B1430" s="9" t="s">
        <v>1748</v>
      </c>
      <c r="C1430" s="9" t="s">
        <v>1713</v>
      </c>
      <c r="F1430" s="10"/>
      <c r="G1430" s="12"/>
      <c r="H1430" s="10">
        <v>102.89999999999999</v>
      </c>
      <c r="I1430" s="12">
        <f>H1430*(1-'[1]Discounts page'!D$24)</f>
        <v>46.304999999999993</v>
      </c>
      <c r="J1430" s="55">
        <f t="shared" si="38"/>
        <v>70</v>
      </c>
    </row>
    <row r="1431" spans="1:10" ht="18.75" x14ac:dyDescent="0.3">
      <c r="A1431" s="8" t="s">
        <v>1749</v>
      </c>
      <c r="B1431" s="9" t="s">
        <v>1750</v>
      </c>
      <c r="C1431" s="9" t="s">
        <v>1713</v>
      </c>
      <c r="F1431" s="10"/>
      <c r="G1431" s="12"/>
      <c r="H1431" s="10">
        <v>247.79999999999998</v>
      </c>
      <c r="I1431" s="12">
        <f>H1431*(1-'[1]Discounts page'!D$24)</f>
        <v>111.50999999999998</v>
      </c>
      <c r="J1431" s="55">
        <f t="shared" si="38"/>
        <v>168</v>
      </c>
    </row>
    <row r="1432" spans="1:10" ht="18.75" x14ac:dyDescent="0.3">
      <c r="A1432" s="8" t="s">
        <v>1749</v>
      </c>
      <c r="B1432" s="9" t="s">
        <v>1751</v>
      </c>
      <c r="C1432" s="9" t="s">
        <v>1713</v>
      </c>
      <c r="F1432" s="10"/>
      <c r="G1432" s="12"/>
      <c r="H1432" s="10">
        <v>218.5</v>
      </c>
      <c r="I1432" s="12">
        <f>H1432*(1-'[1]Discounts page'!D$24)</f>
        <v>98.324999999999989</v>
      </c>
      <c r="J1432" s="55">
        <f t="shared" si="38"/>
        <v>148</v>
      </c>
    </row>
    <row r="1433" spans="1:10" ht="18.75" x14ac:dyDescent="0.3">
      <c r="A1433" s="8" t="s">
        <v>1752</v>
      </c>
      <c r="B1433" s="9" t="s">
        <v>1753</v>
      </c>
      <c r="C1433" s="9" t="s">
        <v>1713</v>
      </c>
      <c r="F1433" s="10"/>
      <c r="G1433" s="12"/>
      <c r="H1433" s="10">
        <v>77.899999999999991</v>
      </c>
      <c r="I1433" s="12">
        <f>H1433*(1-'[1]Discounts page'!D$24)</f>
        <v>35.054999999999993</v>
      </c>
      <c r="J1433" s="55">
        <f t="shared" si="38"/>
        <v>53</v>
      </c>
    </row>
    <row r="1434" spans="1:10" ht="18.75" x14ac:dyDescent="0.3">
      <c r="A1434" s="8" t="s">
        <v>1754</v>
      </c>
      <c r="B1434" s="9" t="s">
        <v>1755</v>
      </c>
      <c r="C1434" s="9" t="s">
        <v>1713</v>
      </c>
      <c r="F1434" s="10"/>
      <c r="G1434" s="12"/>
      <c r="H1434" s="10">
        <v>199.4</v>
      </c>
      <c r="I1434" s="12">
        <f>H1434*(1-'[1]Discounts page'!D$24)</f>
        <v>89.72999999999999</v>
      </c>
      <c r="J1434" s="55">
        <f t="shared" si="38"/>
        <v>135</v>
      </c>
    </row>
    <row r="1435" spans="1:10" ht="18.75" x14ac:dyDescent="0.3">
      <c r="A1435" s="8" t="s">
        <v>1754</v>
      </c>
      <c r="B1435" s="9" t="s">
        <v>1756</v>
      </c>
      <c r="C1435" s="9" t="s">
        <v>1713</v>
      </c>
      <c r="F1435" s="10"/>
      <c r="G1435" s="12"/>
      <c r="H1435" s="10">
        <v>173.29999999999998</v>
      </c>
      <c r="I1435" s="12">
        <f>H1435*(1-'[1]Discounts page'!D$24)</f>
        <v>77.984999999999985</v>
      </c>
      <c r="J1435" s="55">
        <f t="shared" si="38"/>
        <v>117</v>
      </c>
    </row>
    <row r="1436" spans="1:10" ht="18.75" x14ac:dyDescent="0.3">
      <c r="A1436" s="8" t="s">
        <v>1757</v>
      </c>
      <c r="B1436" s="9" t="s">
        <v>1758</v>
      </c>
      <c r="C1436" s="9" t="s">
        <v>1713</v>
      </c>
      <c r="F1436" s="10"/>
      <c r="G1436" s="12"/>
      <c r="H1436" s="10">
        <v>117</v>
      </c>
      <c r="I1436" s="12">
        <f>H1436*(1-'[1]Discounts page'!D$24)</f>
        <v>52.649999999999991</v>
      </c>
      <c r="J1436" s="55">
        <f t="shared" si="38"/>
        <v>79</v>
      </c>
    </row>
    <row r="1437" spans="1:10" ht="18.75" x14ac:dyDescent="0.3">
      <c r="A1437" s="8" t="s">
        <v>1759</v>
      </c>
      <c r="B1437" s="9" t="s">
        <v>1760</v>
      </c>
      <c r="C1437" s="9" t="s">
        <v>1713</v>
      </c>
      <c r="F1437" s="10"/>
      <c r="G1437" s="12"/>
      <c r="H1437" s="10">
        <v>244</v>
      </c>
      <c r="I1437" s="12">
        <f>H1437*(1-'[1]Discounts page'!D$24)</f>
        <v>109.79999999999998</v>
      </c>
      <c r="J1437" s="55">
        <f t="shared" si="38"/>
        <v>165</v>
      </c>
    </row>
    <row r="1438" spans="1:10" ht="18.75" x14ac:dyDescent="0.3">
      <c r="A1438" s="8" t="s">
        <v>1759</v>
      </c>
      <c r="B1438" s="9" t="s">
        <v>1761</v>
      </c>
      <c r="C1438" s="9" t="s">
        <v>1713</v>
      </c>
      <c r="F1438" s="10"/>
      <c r="G1438" s="12"/>
      <c r="H1438" s="10">
        <v>211.9</v>
      </c>
      <c r="I1438" s="12">
        <f>H1438*(1-'[1]Discounts page'!D$24)</f>
        <v>95.35499999999999</v>
      </c>
      <c r="J1438" s="55">
        <f t="shared" si="38"/>
        <v>144</v>
      </c>
    </row>
    <row r="1439" spans="1:10" ht="18.75" x14ac:dyDescent="0.3">
      <c r="A1439" s="8" t="s">
        <v>1762</v>
      </c>
      <c r="B1439" s="9" t="s">
        <v>1763</v>
      </c>
      <c r="C1439" s="9" t="s">
        <v>1713</v>
      </c>
      <c r="F1439" s="10"/>
      <c r="G1439" s="12"/>
      <c r="H1439" s="10">
        <v>76.199999999999989</v>
      </c>
      <c r="I1439" s="12">
        <f>H1439*(1-'[1]Discounts page'!D$24)</f>
        <v>34.289999999999992</v>
      </c>
      <c r="J1439" s="55">
        <f t="shared" si="38"/>
        <v>52</v>
      </c>
    </row>
    <row r="1440" spans="1:10" ht="18.75" x14ac:dyDescent="0.3">
      <c r="A1440" s="8" t="s">
        <v>1764</v>
      </c>
      <c r="B1440" s="9" t="s">
        <v>1765</v>
      </c>
      <c r="C1440" s="9" t="s">
        <v>1713</v>
      </c>
      <c r="F1440" s="10"/>
      <c r="G1440" s="12"/>
      <c r="H1440" s="10">
        <v>202.79999999999998</v>
      </c>
      <c r="I1440" s="12">
        <f>H1440*(1-'[1]Discounts page'!D$24)</f>
        <v>91.259999999999977</v>
      </c>
      <c r="J1440" s="55">
        <f t="shared" si="38"/>
        <v>137</v>
      </c>
    </row>
    <row r="1441" spans="1:10" ht="18.75" x14ac:dyDescent="0.3">
      <c r="A1441" s="8" t="s">
        <v>1764</v>
      </c>
      <c r="B1441" s="9" t="s">
        <v>1766</v>
      </c>
      <c r="C1441" s="9" t="s">
        <v>1713</v>
      </c>
      <c r="F1441" s="10"/>
      <c r="G1441" s="9"/>
      <c r="H1441" s="10">
        <v>171.5</v>
      </c>
      <c r="I1441" s="12">
        <f>H1441*(1-'[1]Discounts page'!D$24)</f>
        <v>77.174999999999997</v>
      </c>
      <c r="J1441" s="55">
        <f t="shared" si="38"/>
        <v>116</v>
      </c>
    </row>
    <row r="1442" spans="1:10" ht="18.75" x14ac:dyDescent="0.3">
      <c r="A1442" s="8" t="s">
        <v>1767</v>
      </c>
      <c r="B1442" s="9" t="s">
        <v>1768</v>
      </c>
      <c r="C1442" s="9" t="s">
        <v>1713</v>
      </c>
      <c r="F1442" s="10"/>
      <c r="G1442" s="12"/>
      <c r="H1442" s="10">
        <v>88.899999999999991</v>
      </c>
      <c r="I1442" s="12">
        <f>H1442*(1-'[1]Discounts page'!D$24)</f>
        <v>40.004999999999995</v>
      </c>
      <c r="J1442" s="55">
        <f t="shared" si="38"/>
        <v>61</v>
      </c>
    </row>
    <row r="1443" spans="1:10" ht="18.75" x14ac:dyDescent="0.3">
      <c r="A1443" s="8" t="s">
        <v>1769</v>
      </c>
      <c r="B1443" s="9" t="s">
        <v>1770</v>
      </c>
      <c r="C1443" s="9" t="s">
        <v>1713</v>
      </c>
      <c r="F1443" s="10"/>
      <c r="G1443" s="12"/>
      <c r="H1443" s="10">
        <v>215.29999999999998</v>
      </c>
      <c r="I1443" s="12">
        <f>H1443*(1-'[1]Discounts page'!D$24)</f>
        <v>96.884999999999977</v>
      </c>
      <c r="J1443" s="55">
        <f t="shared" si="38"/>
        <v>146</v>
      </c>
    </row>
    <row r="1444" spans="1:10" ht="18.75" x14ac:dyDescent="0.3">
      <c r="A1444" s="8" t="s">
        <v>1769</v>
      </c>
      <c r="B1444" s="9" t="s">
        <v>1771</v>
      </c>
      <c r="C1444" s="9" t="s">
        <v>1713</v>
      </c>
      <c r="F1444" s="10"/>
      <c r="G1444" s="12"/>
      <c r="H1444" s="10">
        <v>183.7</v>
      </c>
      <c r="I1444" s="12">
        <f>H1444*(1-'[1]Discounts page'!D$24)</f>
        <v>82.664999999999992</v>
      </c>
      <c r="J1444" s="55">
        <f t="shared" si="38"/>
        <v>124</v>
      </c>
    </row>
    <row r="1445" spans="1:10" ht="18.75" x14ac:dyDescent="0.3">
      <c r="A1445" s="8" t="s">
        <v>1772</v>
      </c>
      <c r="B1445" s="9" t="s">
        <v>1773</v>
      </c>
      <c r="C1445" s="9" t="s">
        <v>1713</v>
      </c>
      <c r="F1445" s="10"/>
      <c r="G1445" s="9"/>
      <c r="H1445" s="10">
        <v>92.899999999999991</v>
      </c>
      <c r="I1445" s="12">
        <f>H1445*(1-'[1]Discounts page'!D$24)</f>
        <v>41.804999999999993</v>
      </c>
      <c r="J1445" s="55">
        <f t="shared" si="38"/>
        <v>63</v>
      </c>
    </row>
    <row r="1446" spans="1:10" ht="18.75" x14ac:dyDescent="0.3">
      <c r="A1446" s="8" t="s">
        <v>1774</v>
      </c>
      <c r="B1446" s="9" t="s">
        <v>1775</v>
      </c>
      <c r="C1446" s="9" t="s">
        <v>1713</v>
      </c>
      <c r="F1446" s="10"/>
      <c r="G1446" s="9"/>
      <c r="H1446" s="10">
        <v>203.4</v>
      </c>
      <c r="I1446" s="12">
        <f>H1446*(1-'[1]Discounts page'!D$24)</f>
        <v>91.529999999999987</v>
      </c>
      <c r="J1446" s="55">
        <f t="shared" si="38"/>
        <v>138</v>
      </c>
    </row>
    <row r="1447" spans="1:10" ht="18.75" x14ac:dyDescent="0.3">
      <c r="A1447" s="8" t="s">
        <v>1774</v>
      </c>
      <c r="B1447" s="9" t="s">
        <v>1776</v>
      </c>
      <c r="C1447" s="9" t="s">
        <v>1713</v>
      </c>
      <c r="F1447" s="10"/>
      <c r="G1447" s="9"/>
      <c r="H1447" s="10">
        <v>211.1</v>
      </c>
      <c r="I1447" s="12">
        <f>H1447*(1-'[1]Discounts page'!D$24)</f>
        <v>94.99499999999999</v>
      </c>
      <c r="J1447" s="55">
        <f t="shared" si="38"/>
        <v>143</v>
      </c>
    </row>
    <row r="1448" spans="1:10" ht="18.75" x14ac:dyDescent="0.3">
      <c r="A1448" s="8" t="s">
        <v>1777</v>
      </c>
      <c r="B1448" s="9" t="s">
        <v>1778</v>
      </c>
      <c r="C1448" s="9" t="s">
        <v>1713</v>
      </c>
      <c r="F1448" s="10"/>
      <c r="G1448" s="12"/>
      <c r="H1448" s="10">
        <v>79.899999999999991</v>
      </c>
      <c r="I1448" s="12">
        <f>H1448*(1-'[1]Discounts page'!D$24)</f>
        <v>35.954999999999991</v>
      </c>
      <c r="J1448" s="55">
        <f t="shared" si="38"/>
        <v>54</v>
      </c>
    </row>
    <row r="1449" spans="1:10" ht="18.75" x14ac:dyDescent="0.3">
      <c r="A1449" s="8" t="s">
        <v>1779</v>
      </c>
      <c r="B1449" s="9" t="s">
        <v>1780</v>
      </c>
      <c r="C1449" s="9" t="s">
        <v>1713</v>
      </c>
      <c r="F1449" s="10"/>
      <c r="G1449" s="12"/>
      <c r="H1449" s="10">
        <v>206.9</v>
      </c>
      <c r="I1449" s="12">
        <f>H1449*(1-'[1]Discounts page'!D$24)</f>
        <v>93.10499999999999</v>
      </c>
      <c r="J1449" s="55">
        <f t="shared" si="38"/>
        <v>140</v>
      </c>
    </row>
    <row r="1450" spans="1:10" ht="18.75" x14ac:dyDescent="0.3">
      <c r="A1450" s="8" t="s">
        <v>1779</v>
      </c>
      <c r="B1450" s="9" t="s">
        <v>1781</v>
      </c>
      <c r="C1450" s="9" t="s">
        <v>1713</v>
      </c>
      <c r="F1450" s="10"/>
      <c r="G1450" s="12"/>
      <c r="H1450" s="10">
        <v>175.5</v>
      </c>
      <c r="I1450" s="12">
        <f>H1450*(1-'[1]Discounts page'!D$24)</f>
        <v>78.974999999999994</v>
      </c>
      <c r="J1450" s="55">
        <f t="shared" si="38"/>
        <v>119</v>
      </c>
    </row>
    <row r="1451" spans="1:10" ht="18.75" x14ac:dyDescent="0.3">
      <c r="A1451" s="8" t="s">
        <v>1782</v>
      </c>
      <c r="B1451" s="9" t="s">
        <v>1783</v>
      </c>
      <c r="C1451" s="9" t="s">
        <v>1713</v>
      </c>
      <c r="F1451" s="10"/>
      <c r="G1451" s="12"/>
      <c r="H1451" s="10">
        <v>97.399999999999991</v>
      </c>
      <c r="I1451" s="12">
        <f>H1451*(1-'[1]Discounts page'!D$24)</f>
        <v>43.829999999999991</v>
      </c>
      <c r="J1451" s="55">
        <f t="shared" si="38"/>
        <v>66</v>
      </c>
    </row>
    <row r="1452" spans="1:10" ht="18.75" x14ac:dyDescent="0.3">
      <c r="A1452" s="8" t="s">
        <v>1784</v>
      </c>
      <c r="B1452" s="9" t="s">
        <v>1785</v>
      </c>
      <c r="C1452" s="9" t="s">
        <v>1713</v>
      </c>
      <c r="F1452" s="10"/>
      <c r="G1452" s="12"/>
      <c r="H1452" s="10">
        <v>224</v>
      </c>
      <c r="I1452" s="12">
        <f>H1452*(1-'[1]Discounts page'!D$24)</f>
        <v>100.79999999999998</v>
      </c>
      <c r="J1452" s="55">
        <f t="shared" si="38"/>
        <v>152</v>
      </c>
    </row>
    <row r="1453" spans="1:10" ht="18.75" x14ac:dyDescent="0.3">
      <c r="A1453" s="8" t="s">
        <v>1784</v>
      </c>
      <c r="B1453" s="9" t="s">
        <v>1786</v>
      </c>
      <c r="C1453" s="9" t="s">
        <v>1713</v>
      </c>
      <c r="F1453" s="10"/>
      <c r="G1453" s="12"/>
      <c r="H1453" s="10">
        <v>192.5</v>
      </c>
      <c r="I1453" s="12">
        <f>H1453*(1-'[1]Discounts page'!D$24)</f>
        <v>86.624999999999986</v>
      </c>
      <c r="J1453" s="55">
        <f t="shared" si="38"/>
        <v>130</v>
      </c>
    </row>
    <row r="1454" spans="1:10" ht="18.75" x14ac:dyDescent="0.3">
      <c r="A1454" s="8" t="s">
        <v>1787</v>
      </c>
      <c r="B1454" s="9" t="s">
        <v>1788</v>
      </c>
      <c r="C1454" s="9" t="s">
        <v>1713</v>
      </c>
      <c r="F1454" s="10"/>
      <c r="G1454" s="12"/>
      <c r="H1454" s="10">
        <v>75.8</v>
      </c>
      <c r="I1454" s="12">
        <f>H1454*(1-'[1]Discounts page'!D$24)</f>
        <v>34.109999999999992</v>
      </c>
      <c r="J1454" s="55">
        <f t="shared" si="38"/>
        <v>52</v>
      </c>
    </row>
    <row r="1455" spans="1:10" ht="18.75" x14ac:dyDescent="0.3">
      <c r="A1455" s="8" t="s">
        <v>1789</v>
      </c>
      <c r="B1455" s="9" t="s">
        <v>1790</v>
      </c>
      <c r="C1455" s="9" t="s">
        <v>1713</v>
      </c>
      <c r="F1455" s="10"/>
      <c r="G1455" s="12"/>
      <c r="H1455" s="10">
        <v>202.79999999999998</v>
      </c>
      <c r="I1455" s="12">
        <f>H1455*(1-'[1]Discounts page'!D$24)</f>
        <v>91.259999999999977</v>
      </c>
      <c r="J1455" s="55">
        <f t="shared" si="38"/>
        <v>137</v>
      </c>
    </row>
    <row r="1456" spans="1:10" ht="18.75" x14ac:dyDescent="0.3">
      <c r="A1456" s="8" t="s">
        <v>1789</v>
      </c>
      <c r="B1456" s="9" t="s">
        <v>1791</v>
      </c>
      <c r="C1456" s="9" t="s">
        <v>1713</v>
      </c>
      <c r="F1456" s="10"/>
      <c r="G1456" s="12"/>
      <c r="H1456" s="10">
        <v>169.6</v>
      </c>
      <c r="I1456" s="12">
        <f>H1456*(1-'[1]Discounts page'!D$24)</f>
        <v>76.319999999999993</v>
      </c>
      <c r="J1456" s="55">
        <f t="shared" si="38"/>
        <v>115</v>
      </c>
    </row>
    <row r="1457" spans="1:10" ht="18.75" x14ac:dyDescent="0.3">
      <c r="A1457" s="8" t="s">
        <v>1792</v>
      </c>
      <c r="B1457" s="9" t="s">
        <v>1793</v>
      </c>
      <c r="C1457" s="9" t="s">
        <v>1713</v>
      </c>
      <c r="F1457" s="10"/>
      <c r="G1457" s="12"/>
      <c r="H1457" s="10">
        <v>99.6</v>
      </c>
      <c r="I1457" s="12">
        <f>H1457*(1-'[1]Discounts page'!D$24)</f>
        <v>44.819999999999993</v>
      </c>
      <c r="J1457" s="55">
        <f t="shared" si="38"/>
        <v>68</v>
      </c>
    </row>
    <row r="1458" spans="1:10" ht="18.75" x14ac:dyDescent="0.3">
      <c r="A1458" s="8" t="s">
        <v>1794</v>
      </c>
      <c r="B1458" s="9" t="s">
        <v>1795</v>
      </c>
      <c r="C1458" s="9" t="s">
        <v>1713</v>
      </c>
      <c r="F1458" s="10"/>
      <c r="G1458" s="12"/>
      <c r="H1458" s="10">
        <v>225.5</v>
      </c>
      <c r="I1458" s="12">
        <f>H1458*(1-'[1]Discounts page'!D$24)</f>
        <v>101.47499999999999</v>
      </c>
      <c r="J1458" s="55">
        <f t="shared" si="38"/>
        <v>153</v>
      </c>
    </row>
    <row r="1459" spans="1:10" ht="18.75" x14ac:dyDescent="0.3">
      <c r="A1459" s="8" t="s">
        <v>1794</v>
      </c>
      <c r="B1459" s="9" t="s">
        <v>1796</v>
      </c>
      <c r="C1459" s="9" t="s">
        <v>1713</v>
      </c>
      <c r="F1459" s="10"/>
      <c r="G1459" s="12"/>
      <c r="H1459" s="10">
        <v>193.9</v>
      </c>
      <c r="I1459" s="12">
        <f>H1459*(1-'[1]Discounts page'!D$24)</f>
        <v>87.254999999999995</v>
      </c>
      <c r="J1459" s="55">
        <f t="shared" si="38"/>
        <v>131</v>
      </c>
    </row>
    <row r="1460" spans="1:10" ht="18.75" x14ac:dyDescent="0.3">
      <c r="A1460" s="8" t="s">
        <v>1797</v>
      </c>
      <c r="B1460" s="9" t="s">
        <v>1798</v>
      </c>
      <c r="C1460" s="9" t="s">
        <v>1713</v>
      </c>
      <c r="F1460" s="10"/>
      <c r="G1460" s="12"/>
      <c r="H1460" s="10">
        <v>53.800000000000004</v>
      </c>
      <c r="I1460" s="12">
        <f>H1460*(1-'[1]Discounts page'!D$24)</f>
        <v>24.21</v>
      </c>
      <c r="J1460" s="55">
        <f t="shared" si="38"/>
        <v>37</v>
      </c>
    </row>
    <row r="1461" spans="1:10" ht="18.75" x14ac:dyDescent="0.3">
      <c r="A1461" s="8" t="s">
        <v>1799</v>
      </c>
      <c r="B1461" s="9" t="s">
        <v>1800</v>
      </c>
      <c r="C1461" s="9" t="s">
        <v>1713</v>
      </c>
      <c r="F1461" s="10"/>
      <c r="G1461" s="12" t="s">
        <v>10</v>
      </c>
      <c r="H1461" s="10">
        <v>181.2</v>
      </c>
      <c r="I1461" s="12">
        <f>H1461*(1-'[1]Discounts page'!D$24)</f>
        <v>81.539999999999992</v>
      </c>
      <c r="J1461" s="55">
        <f t="shared" si="38"/>
        <v>123</v>
      </c>
    </row>
    <row r="1462" spans="1:10" ht="18.75" x14ac:dyDescent="0.3">
      <c r="A1462" s="8" t="s">
        <v>1799</v>
      </c>
      <c r="B1462" s="9" t="s">
        <v>1801</v>
      </c>
      <c r="C1462" s="9" t="s">
        <v>1713</v>
      </c>
      <c r="F1462" s="10"/>
      <c r="G1462" s="12"/>
      <c r="H1462" s="10">
        <v>149.4</v>
      </c>
      <c r="I1462" s="12">
        <f>H1462*(1-'[1]Discounts page'!D$24)</f>
        <v>67.22999999999999</v>
      </c>
      <c r="J1462" s="55">
        <f t="shared" si="38"/>
        <v>101</v>
      </c>
    </row>
    <row r="1463" spans="1:10" ht="18.75" x14ac:dyDescent="0.3">
      <c r="A1463" s="8" t="s">
        <v>1802</v>
      </c>
      <c r="B1463" s="9" t="s">
        <v>1803</v>
      </c>
      <c r="C1463" s="9" t="s">
        <v>1713</v>
      </c>
      <c r="F1463" s="10"/>
      <c r="G1463" s="12"/>
      <c r="H1463" s="10">
        <v>64.8</v>
      </c>
      <c r="I1463" s="12">
        <f>H1463*(1-'[1]Discounts page'!D$24)</f>
        <v>29.159999999999997</v>
      </c>
      <c r="J1463" s="55">
        <f t="shared" si="38"/>
        <v>44</v>
      </c>
    </row>
    <row r="1464" spans="1:10" ht="18.75" x14ac:dyDescent="0.3">
      <c r="A1464" s="8" t="s">
        <v>1804</v>
      </c>
      <c r="B1464" s="9" t="s">
        <v>1805</v>
      </c>
      <c r="C1464" s="9" t="s">
        <v>1713</v>
      </c>
      <c r="F1464" s="10"/>
      <c r="G1464" s="12"/>
      <c r="H1464" s="10">
        <v>191.29999999999998</v>
      </c>
      <c r="I1464" s="12">
        <f>H1464*(1-'[1]Discounts page'!D$24)</f>
        <v>86.08499999999998</v>
      </c>
      <c r="J1464" s="55">
        <f t="shared" si="38"/>
        <v>130</v>
      </c>
    </row>
    <row r="1465" spans="1:10" ht="18.75" x14ac:dyDescent="0.3">
      <c r="A1465" s="8" t="s">
        <v>1804</v>
      </c>
      <c r="B1465" s="9" t="s">
        <v>1806</v>
      </c>
      <c r="C1465" s="9" t="s">
        <v>1713</v>
      </c>
      <c r="F1465" s="10"/>
      <c r="G1465" s="12"/>
      <c r="H1465" s="10">
        <v>191.29999999999998</v>
      </c>
      <c r="I1465" s="12">
        <f>H1465*(1-'[1]Discounts page'!D$24)</f>
        <v>86.08499999999998</v>
      </c>
      <c r="J1465" s="55">
        <f t="shared" ref="J1465:J1508" si="39">ROUNDUP(I1465*1.5,0)</f>
        <v>130</v>
      </c>
    </row>
    <row r="1466" spans="1:10" ht="18.75" x14ac:dyDescent="0.3">
      <c r="A1466" s="16" t="s">
        <v>1807</v>
      </c>
      <c r="B1466" s="9"/>
      <c r="C1466" s="9"/>
      <c r="F1466" s="10"/>
      <c r="G1466" s="12"/>
      <c r="H1466" s="10"/>
      <c r="I1466" s="12"/>
      <c r="J1466" s="55">
        <f t="shared" si="39"/>
        <v>0</v>
      </c>
    </row>
    <row r="1467" spans="1:10" ht="18.75" x14ac:dyDescent="0.3">
      <c r="A1467" s="8" t="s">
        <v>1808</v>
      </c>
      <c r="B1467" s="9" t="s">
        <v>1809</v>
      </c>
      <c r="C1467" s="9" t="s">
        <v>1713</v>
      </c>
      <c r="F1467" s="10"/>
      <c r="G1467" s="12"/>
      <c r="H1467" s="10">
        <v>63.2</v>
      </c>
      <c r="I1467" s="12">
        <f>H1467*(1-'[1]Discounts page'!D$24)</f>
        <v>28.439999999999998</v>
      </c>
      <c r="J1467" s="55">
        <f t="shared" si="39"/>
        <v>43</v>
      </c>
    </row>
    <row r="1468" spans="1:10" ht="18.75" x14ac:dyDescent="0.3">
      <c r="A1468" s="8" t="s">
        <v>1810</v>
      </c>
      <c r="B1468" s="9" t="s">
        <v>1811</v>
      </c>
      <c r="C1468" s="9" t="s">
        <v>1713</v>
      </c>
      <c r="F1468" s="10"/>
      <c r="G1468" s="12"/>
      <c r="H1468" s="10">
        <v>221.6</v>
      </c>
      <c r="I1468" s="12">
        <f>H1468*(1-'[1]Discounts page'!D$24)</f>
        <v>99.719999999999985</v>
      </c>
      <c r="J1468" s="55">
        <f t="shared" si="39"/>
        <v>150</v>
      </c>
    </row>
    <row r="1469" spans="1:10" ht="18.75" x14ac:dyDescent="0.3">
      <c r="A1469" s="8" t="s">
        <v>1810</v>
      </c>
      <c r="B1469" s="9" t="s">
        <v>1812</v>
      </c>
      <c r="C1469" s="9" t="s">
        <v>1713</v>
      </c>
      <c r="F1469" s="10"/>
      <c r="G1469" s="12"/>
      <c r="H1469" s="10">
        <v>189.7</v>
      </c>
      <c r="I1469" s="12">
        <f>H1469*(1-'[1]Discounts page'!D$24)</f>
        <v>85.364999999999981</v>
      </c>
      <c r="J1469" s="55">
        <f t="shared" si="39"/>
        <v>129</v>
      </c>
    </row>
    <row r="1470" spans="1:10" ht="18.75" x14ac:dyDescent="0.3">
      <c r="A1470" s="8" t="s">
        <v>1813</v>
      </c>
      <c r="B1470" s="9" t="s">
        <v>1814</v>
      </c>
      <c r="C1470" s="9" t="s">
        <v>1713</v>
      </c>
      <c r="F1470" s="10"/>
      <c r="G1470" s="12"/>
      <c r="H1470" s="10">
        <v>79.899999999999991</v>
      </c>
      <c r="I1470" s="12">
        <f>H1470*(1-'[1]Discounts page'!D$24)</f>
        <v>35.954999999999991</v>
      </c>
      <c r="J1470" s="55">
        <f t="shared" si="39"/>
        <v>54</v>
      </c>
    </row>
    <row r="1471" spans="1:10" ht="18.75" x14ac:dyDescent="0.3">
      <c r="A1471" s="8" t="s">
        <v>1815</v>
      </c>
      <c r="B1471" s="9" t="s">
        <v>1816</v>
      </c>
      <c r="C1471" s="9" t="s">
        <v>1713</v>
      </c>
      <c r="F1471" s="10"/>
      <c r="G1471" s="12"/>
      <c r="H1471" s="10">
        <v>238.7</v>
      </c>
      <c r="I1471" s="12">
        <f>H1471*(1-'[1]Discounts page'!D$24)</f>
        <v>107.41499999999998</v>
      </c>
      <c r="J1471" s="55">
        <f t="shared" si="39"/>
        <v>162</v>
      </c>
    </row>
    <row r="1472" spans="1:10" ht="18.75" x14ac:dyDescent="0.3">
      <c r="A1472" s="8" t="s">
        <v>1815</v>
      </c>
      <c r="B1472" s="9" t="s">
        <v>1817</v>
      </c>
      <c r="C1472" s="9" t="s">
        <v>1713</v>
      </c>
      <c r="F1472" s="10"/>
      <c r="G1472" s="12"/>
      <c r="H1472" s="10">
        <v>206.9</v>
      </c>
      <c r="I1472" s="12">
        <f>H1472*(1-'[1]Discounts page'!D$24)</f>
        <v>93.10499999999999</v>
      </c>
      <c r="J1472" s="55">
        <f t="shared" si="39"/>
        <v>140</v>
      </c>
    </row>
    <row r="1473" spans="1:10" ht="18.75" x14ac:dyDescent="0.3">
      <c r="A1473" s="8" t="s">
        <v>1818</v>
      </c>
      <c r="B1473" s="9" t="s">
        <v>1819</v>
      </c>
      <c r="C1473" s="9" t="s">
        <v>1713</v>
      </c>
      <c r="F1473" s="10"/>
      <c r="G1473" s="12"/>
      <c r="H1473" s="10">
        <v>105</v>
      </c>
      <c r="I1473" s="12">
        <f>H1473*(1-'[1]Discounts page'!D$24)</f>
        <v>47.249999999999993</v>
      </c>
      <c r="J1473" s="55">
        <f t="shared" si="39"/>
        <v>71</v>
      </c>
    </row>
    <row r="1474" spans="1:10" ht="18.75" x14ac:dyDescent="0.3">
      <c r="A1474" s="8" t="s">
        <v>1820</v>
      </c>
      <c r="B1474" s="9" t="s">
        <v>1821</v>
      </c>
      <c r="C1474" s="9" t="s">
        <v>1713</v>
      </c>
      <c r="F1474" s="10"/>
      <c r="G1474" s="12"/>
      <c r="H1474" s="10">
        <v>270.90000000000003</v>
      </c>
      <c r="I1474" s="12">
        <f>H1474*(1-'[1]Discounts page'!D$24)</f>
        <v>121.905</v>
      </c>
      <c r="J1474" s="55">
        <f t="shared" si="39"/>
        <v>183</v>
      </c>
    </row>
    <row r="1475" spans="1:10" ht="18.75" x14ac:dyDescent="0.3">
      <c r="A1475" s="8" t="s">
        <v>1820</v>
      </c>
      <c r="B1475" s="9" t="s">
        <v>1822</v>
      </c>
      <c r="C1475" s="9" t="s">
        <v>1713</v>
      </c>
      <c r="F1475" s="10"/>
      <c r="G1475" s="12"/>
      <c r="H1475" s="10">
        <v>249.79999999999998</v>
      </c>
      <c r="I1475" s="12">
        <f>H1475*(1-'[1]Discounts page'!D$24)</f>
        <v>112.40999999999998</v>
      </c>
      <c r="J1475" s="55">
        <f t="shared" si="39"/>
        <v>169</v>
      </c>
    </row>
    <row r="1476" spans="1:10" ht="18.75" x14ac:dyDescent="0.3">
      <c r="A1476" s="8" t="s">
        <v>1823</v>
      </c>
      <c r="B1476" s="9" t="s">
        <v>1824</v>
      </c>
      <c r="C1476" s="9" t="s">
        <v>1713</v>
      </c>
      <c r="F1476" s="10"/>
      <c r="G1476" s="12"/>
      <c r="H1476" s="10">
        <v>196.6</v>
      </c>
      <c r="I1476" s="12">
        <f>H1476*(1-'[1]Discounts page'!D$24)</f>
        <v>88.469999999999985</v>
      </c>
      <c r="J1476" s="55">
        <f t="shared" si="39"/>
        <v>133</v>
      </c>
    </row>
    <row r="1477" spans="1:10" ht="18.75" x14ac:dyDescent="0.3">
      <c r="A1477" s="8" t="s">
        <v>1825</v>
      </c>
      <c r="B1477" s="9" t="s">
        <v>1826</v>
      </c>
      <c r="C1477" s="9" t="s">
        <v>1713</v>
      </c>
      <c r="F1477" s="10"/>
      <c r="G1477" s="12"/>
      <c r="H1477" s="10">
        <v>355.3</v>
      </c>
      <c r="I1477" s="12">
        <f>H1477*(1-'[1]Discounts page'!D$24)</f>
        <v>159.88499999999999</v>
      </c>
      <c r="J1477" s="55">
        <f t="shared" si="39"/>
        <v>240</v>
      </c>
    </row>
    <row r="1478" spans="1:10" ht="18.75" x14ac:dyDescent="0.3">
      <c r="A1478" s="8" t="s">
        <v>1825</v>
      </c>
      <c r="B1478" s="9" t="s">
        <v>1827</v>
      </c>
      <c r="C1478" s="9" t="s">
        <v>1713</v>
      </c>
      <c r="F1478" s="10"/>
      <c r="G1478" s="9"/>
      <c r="H1478" s="10">
        <v>322.90000000000003</v>
      </c>
      <c r="I1478" s="12">
        <f>H1478*(1-'[1]Discounts page'!D$24)</f>
        <v>145.30500000000001</v>
      </c>
      <c r="J1478" s="55">
        <f t="shared" si="39"/>
        <v>218</v>
      </c>
    </row>
    <row r="1479" spans="1:10" ht="18.75" x14ac:dyDescent="0.3">
      <c r="A1479" s="8" t="s">
        <v>1828</v>
      </c>
      <c r="B1479" s="9" t="s">
        <v>1829</v>
      </c>
      <c r="C1479" s="9" t="s">
        <v>1713</v>
      </c>
      <c r="F1479" s="10"/>
      <c r="G1479" s="12"/>
      <c r="H1479" s="10">
        <v>81</v>
      </c>
      <c r="I1479" s="12">
        <f>H1479*(1-'[1]Discounts page'!D$24)</f>
        <v>36.449999999999996</v>
      </c>
      <c r="J1479" s="55">
        <f t="shared" si="39"/>
        <v>55</v>
      </c>
    </row>
    <row r="1480" spans="1:10" ht="18.75" x14ac:dyDescent="0.3">
      <c r="A1480" s="8" t="s">
        <v>1830</v>
      </c>
      <c r="B1480" s="9" t="s">
        <v>1831</v>
      </c>
      <c r="C1480" s="9" t="s">
        <v>1713</v>
      </c>
      <c r="F1480" s="10"/>
      <c r="G1480" s="12"/>
      <c r="H1480" s="10">
        <v>233</v>
      </c>
      <c r="I1480" s="12">
        <f>H1480*(1-'[1]Discounts page'!D$24)</f>
        <v>104.85</v>
      </c>
      <c r="J1480" s="55">
        <f t="shared" si="39"/>
        <v>158</v>
      </c>
    </row>
    <row r="1481" spans="1:10" ht="18.75" x14ac:dyDescent="0.3">
      <c r="A1481" s="8" t="s">
        <v>1830</v>
      </c>
      <c r="B1481" s="9" t="s">
        <v>1832</v>
      </c>
      <c r="C1481" s="9" t="s">
        <v>1713</v>
      </c>
      <c r="F1481" s="10"/>
      <c r="G1481" s="12"/>
      <c r="H1481" s="10">
        <v>202.29999999999998</v>
      </c>
      <c r="I1481" s="12">
        <f>H1481*(1-'[1]Discounts page'!D$24)</f>
        <v>91.034999999999982</v>
      </c>
      <c r="J1481" s="55">
        <f t="shared" si="39"/>
        <v>137</v>
      </c>
    </row>
    <row r="1482" spans="1:10" ht="18.75" x14ac:dyDescent="0.3">
      <c r="A1482" s="8" t="s">
        <v>1833</v>
      </c>
      <c r="B1482" s="9" t="s">
        <v>1834</v>
      </c>
      <c r="C1482" s="9" t="s">
        <v>1713</v>
      </c>
      <c r="F1482" s="10"/>
      <c r="G1482" s="12"/>
      <c r="H1482" s="10">
        <v>94.899999999999991</v>
      </c>
      <c r="I1482" s="12">
        <f>H1482*(1-'[1]Discounts page'!D$24)</f>
        <v>42.704999999999991</v>
      </c>
      <c r="J1482" s="55">
        <f t="shared" si="39"/>
        <v>65</v>
      </c>
    </row>
    <row r="1483" spans="1:10" ht="18.75" x14ac:dyDescent="0.3">
      <c r="A1483" s="8" t="s">
        <v>1835</v>
      </c>
      <c r="B1483" s="9" t="s">
        <v>1836</v>
      </c>
      <c r="C1483" s="9" t="s">
        <v>1713</v>
      </c>
      <c r="F1483" s="10"/>
      <c r="G1483" s="12"/>
      <c r="H1483" s="10">
        <v>247.2</v>
      </c>
      <c r="I1483" s="12">
        <f>H1483*(1-'[1]Discounts page'!D$24)</f>
        <v>111.23999999999998</v>
      </c>
      <c r="J1483" s="55">
        <f t="shared" si="39"/>
        <v>167</v>
      </c>
    </row>
    <row r="1484" spans="1:10" ht="18.75" x14ac:dyDescent="0.3">
      <c r="A1484" s="8" t="s">
        <v>1835</v>
      </c>
      <c r="B1484" s="9" t="s">
        <v>1837</v>
      </c>
      <c r="C1484" s="9" t="s">
        <v>1713</v>
      </c>
      <c r="F1484" s="10"/>
      <c r="G1484" s="12"/>
      <c r="H1484" s="10">
        <v>216.5</v>
      </c>
      <c r="I1484" s="12">
        <f>H1484*(1-'[1]Discounts page'!D$24)</f>
        <v>97.424999999999997</v>
      </c>
      <c r="J1484" s="55">
        <f t="shared" si="39"/>
        <v>147</v>
      </c>
    </row>
    <row r="1485" spans="1:10" ht="18.75" x14ac:dyDescent="0.3">
      <c r="A1485" s="8" t="s">
        <v>1838</v>
      </c>
      <c r="B1485" s="9" t="s">
        <v>1839</v>
      </c>
      <c r="C1485" s="9" t="s">
        <v>1713</v>
      </c>
      <c r="F1485" s="10"/>
      <c r="G1485" s="12"/>
      <c r="H1485" s="10">
        <v>70.699999999999989</v>
      </c>
      <c r="I1485" s="12">
        <f>H1485*(1-'[1]Discounts page'!D$24)</f>
        <v>31.814999999999991</v>
      </c>
      <c r="J1485" s="55">
        <f t="shared" si="39"/>
        <v>48</v>
      </c>
    </row>
    <row r="1486" spans="1:10" ht="18.75" x14ac:dyDescent="0.3">
      <c r="A1486" s="8" t="s">
        <v>1840</v>
      </c>
      <c r="B1486" s="9" t="s">
        <v>1841</v>
      </c>
      <c r="C1486" s="9" t="s">
        <v>1713</v>
      </c>
      <c r="F1486" s="10"/>
      <c r="G1486" s="12"/>
      <c r="H1486" s="10">
        <v>243.2</v>
      </c>
      <c r="I1486" s="12">
        <f>H1486*(1-'[1]Discounts page'!D$24)</f>
        <v>109.43999999999998</v>
      </c>
      <c r="J1486" s="55">
        <f t="shared" si="39"/>
        <v>165</v>
      </c>
    </row>
    <row r="1487" spans="1:10" ht="18.75" x14ac:dyDescent="0.3">
      <c r="A1487" s="8" t="s">
        <v>1840</v>
      </c>
      <c r="B1487" s="9" t="s">
        <v>1842</v>
      </c>
      <c r="C1487" s="9" t="s">
        <v>1713</v>
      </c>
      <c r="F1487" s="10"/>
      <c r="G1487" s="12"/>
      <c r="H1487" s="10">
        <v>197.5</v>
      </c>
      <c r="I1487" s="12">
        <f>H1487*(1-'[1]Discounts page'!D$24)</f>
        <v>88.874999999999986</v>
      </c>
      <c r="J1487" s="55">
        <f t="shared" si="39"/>
        <v>134</v>
      </c>
    </row>
    <row r="1488" spans="1:10" ht="18.75" x14ac:dyDescent="0.3">
      <c r="A1488" s="8" t="s">
        <v>1843</v>
      </c>
      <c r="B1488" s="9" t="s">
        <v>1844</v>
      </c>
      <c r="C1488" s="9" t="s">
        <v>1713</v>
      </c>
      <c r="F1488" s="10"/>
      <c r="G1488" s="12"/>
      <c r="H1488" s="10">
        <v>77.5</v>
      </c>
      <c r="I1488" s="12">
        <f>H1488*(1-'[1]Discounts page'!D$24)</f>
        <v>34.875</v>
      </c>
      <c r="J1488" s="55">
        <f t="shared" si="39"/>
        <v>53</v>
      </c>
    </row>
    <row r="1489" spans="1:10" ht="18.75" x14ac:dyDescent="0.3">
      <c r="A1489" s="8" t="s">
        <v>1845</v>
      </c>
      <c r="B1489" s="9" t="s">
        <v>1846</v>
      </c>
      <c r="C1489" s="9" t="s">
        <v>1713</v>
      </c>
      <c r="F1489" s="10"/>
      <c r="G1489" s="12"/>
      <c r="H1489" s="10">
        <v>235.9</v>
      </c>
      <c r="I1489" s="12">
        <f>H1489*(1-'[1]Discounts page'!D$24)</f>
        <v>106.15499999999999</v>
      </c>
      <c r="J1489" s="55">
        <f t="shared" si="39"/>
        <v>160</v>
      </c>
    </row>
    <row r="1490" spans="1:10" ht="18.75" x14ac:dyDescent="0.3">
      <c r="A1490" s="8" t="s">
        <v>1845</v>
      </c>
      <c r="B1490" s="9" t="s">
        <v>1847</v>
      </c>
      <c r="C1490" s="9" t="s">
        <v>1713</v>
      </c>
      <c r="F1490" s="10"/>
      <c r="G1490" s="12"/>
      <c r="H1490" s="10">
        <v>203.6</v>
      </c>
      <c r="I1490" s="12">
        <f>H1490*(1-'[1]Discounts page'!D$24)</f>
        <v>91.61999999999999</v>
      </c>
      <c r="J1490" s="55">
        <f t="shared" si="39"/>
        <v>138</v>
      </c>
    </row>
    <row r="1491" spans="1:10" ht="18.75" x14ac:dyDescent="0.3">
      <c r="A1491" s="8" t="s">
        <v>1848</v>
      </c>
      <c r="B1491" s="9" t="s">
        <v>1849</v>
      </c>
      <c r="C1491" s="9" t="s">
        <v>1713</v>
      </c>
      <c r="F1491" s="10"/>
      <c r="G1491" s="12"/>
      <c r="H1491" s="10">
        <v>129.9</v>
      </c>
      <c r="I1491" s="12">
        <f>H1491*(1-'[1]Discounts page'!D$24)</f>
        <v>58.454999999999998</v>
      </c>
      <c r="J1491" s="55">
        <f t="shared" si="39"/>
        <v>88</v>
      </c>
    </row>
    <row r="1492" spans="1:10" ht="18.75" x14ac:dyDescent="0.3">
      <c r="A1492" s="8" t="s">
        <v>1850</v>
      </c>
      <c r="B1492" s="9" t="s">
        <v>1851</v>
      </c>
      <c r="C1492" s="9" t="s">
        <v>1713</v>
      </c>
      <c r="F1492" s="10"/>
      <c r="G1492" s="12"/>
      <c r="H1492" s="10">
        <v>298.8</v>
      </c>
      <c r="I1492" s="12">
        <f>H1492*(1-'[1]Discounts page'!D$24)</f>
        <v>134.45999999999998</v>
      </c>
      <c r="J1492" s="55">
        <f t="shared" si="39"/>
        <v>202</v>
      </c>
    </row>
    <row r="1493" spans="1:10" ht="18.75" x14ac:dyDescent="0.3">
      <c r="A1493" s="8" t="s">
        <v>1850</v>
      </c>
      <c r="B1493" s="9" t="s">
        <v>1852</v>
      </c>
      <c r="C1493" s="9" t="s">
        <v>1713</v>
      </c>
      <c r="F1493" s="10"/>
      <c r="G1493" s="9"/>
      <c r="H1493" s="10">
        <v>267.20000000000005</v>
      </c>
      <c r="I1493" s="12">
        <f>H1493*(1-'[1]Discounts page'!D$24)</f>
        <v>120.24000000000001</v>
      </c>
      <c r="J1493" s="55">
        <f t="shared" si="39"/>
        <v>181</v>
      </c>
    </row>
    <row r="1494" spans="1:10" ht="18.75" x14ac:dyDescent="0.3">
      <c r="A1494" s="8" t="s">
        <v>1853</v>
      </c>
      <c r="B1494" s="9" t="s">
        <v>1854</v>
      </c>
      <c r="C1494" s="9" t="s">
        <v>1713</v>
      </c>
      <c r="F1494" s="10"/>
      <c r="G1494" s="12"/>
      <c r="H1494" s="10">
        <v>85.5</v>
      </c>
      <c r="I1494" s="12">
        <f>H1494*(1-'[1]Discounts page'!D$24)</f>
        <v>38.474999999999994</v>
      </c>
      <c r="J1494" s="55">
        <f t="shared" si="39"/>
        <v>58</v>
      </c>
    </row>
    <row r="1495" spans="1:10" ht="18.75" x14ac:dyDescent="0.3">
      <c r="A1495" s="8" t="s">
        <v>1855</v>
      </c>
      <c r="B1495" s="9" t="s">
        <v>1856</v>
      </c>
      <c r="C1495" s="9" t="s">
        <v>1713</v>
      </c>
      <c r="F1495" s="10"/>
      <c r="G1495" s="12"/>
      <c r="H1495" s="10">
        <v>244.6</v>
      </c>
      <c r="I1495" s="12">
        <f>H1495*(1-'[1]Discounts page'!D$24)</f>
        <v>110.07</v>
      </c>
      <c r="J1495" s="55">
        <f t="shared" si="39"/>
        <v>166</v>
      </c>
    </row>
    <row r="1496" spans="1:10" ht="18.75" x14ac:dyDescent="0.3">
      <c r="A1496" s="8" t="s">
        <v>1855</v>
      </c>
      <c r="B1496" s="9" t="s">
        <v>1857</v>
      </c>
      <c r="C1496" s="9" t="s">
        <v>1713</v>
      </c>
      <c r="F1496" s="10"/>
      <c r="G1496" s="12"/>
      <c r="H1496" s="10">
        <v>213</v>
      </c>
      <c r="I1496" s="12">
        <f>H1496*(1-'[1]Discounts page'!D$24)</f>
        <v>95.85</v>
      </c>
      <c r="J1496" s="55">
        <f t="shared" si="39"/>
        <v>144</v>
      </c>
    </row>
    <row r="1497" spans="1:10" ht="18.75" x14ac:dyDescent="0.3">
      <c r="A1497" s="8" t="s">
        <v>1858</v>
      </c>
      <c r="B1497" s="9" t="s">
        <v>1859</v>
      </c>
      <c r="C1497" s="9" t="s">
        <v>1713</v>
      </c>
      <c r="F1497" s="10"/>
      <c r="G1497" s="12"/>
      <c r="H1497" s="10">
        <v>105.19999999999999</v>
      </c>
      <c r="I1497" s="12">
        <f>H1497*(1-'[1]Discounts page'!D$24)</f>
        <v>47.339999999999989</v>
      </c>
      <c r="J1497" s="55">
        <f t="shared" si="39"/>
        <v>72</v>
      </c>
    </row>
    <row r="1498" spans="1:10" ht="18.75" x14ac:dyDescent="0.3">
      <c r="A1498" s="8" t="s">
        <v>1860</v>
      </c>
      <c r="B1498" s="9" t="s">
        <v>1861</v>
      </c>
      <c r="C1498" s="9" t="s">
        <v>1713</v>
      </c>
      <c r="F1498" s="10"/>
      <c r="G1498" s="12"/>
      <c r="H1498" s="10">
        <v>262.90000000000003</v>
      </c>
      <c r="I1498" s="12">
        <f>H1498*(1-'[1]Discounts page'!D$24)</f>
        <v>118.30500000000001</v>
      </c>
      <c r="J1498" s="55">
        <f t="shared" si="39"/>
        <v>178</v>
      </c>
    </row>
    <row r="1499" spans="1:10" ht="18.75" x14ac:dyDescent="0.3">
      <c r="A1499" s="8" t="s">
        <v>1860</v>
      </c>
      <c r="B1499" s="9" t="s">
        <v>1862</v>
      </c>
      <c r="C1499" s="9" t="s">
        <v>1713</v>
      </c>
      <c r="F1499" s="10"/>
      <c r="G1499" s="12"/>
      <c r="H1499" s="10">
        <v>231.2</v>
      </c>
      <c r="I1499" s="12">
        <f>H1499*(1-'[1]Discounts page'!D$24)</f>
        <v>104.03999999999998</v>
      </c>
      <c r="J1499" s="55">
        <f t="shared" si="39"/>
        <v>157</v>
      </c>
    </row>
    <row r="1500" spans="1:10" ht="18.75" x14ac:dyDescent="0.3">
      <c r="A1500" s="8" t="s">
        <v>1863</v>
      </c>
      <c r="B1500" s="9" t="s">
        <v>1864</v>
      </c>
      <c r="C1500" s="9" t="s">
        <v>1713</v>
      </c>
      <c r="F1500" s="10"/>
      <c r="G1500" s="12"/>
      <c r="H1500" s="10">
        <v>112.19999999999999</v>
      </c>
      <c r="I1500" s="12">
        <f>H1500*(1-'[1]Discounts page'!D$24)</f>
        <v>50.489999999999988</v>
      </c>
      <c r="J1500" s="55">
        <f t="shared" si="39"/>
        <v>76</v>
      </c>
    </row>
    <row r="1501" spans="1:10" ht="18.75" x14ac:dyDescent="0.3">
      <c r="A1501" s="8" t="s">
        <v>1865</v>
      </c>
      <c r="B1501" s="9" t="s">
        <v>1866</v>
      </c>
      <c r="C1501" s="9" t="s">
        <v>1713</v>
      </c>
      <c r="F1501" s="10"/>
      <c r="G1501" s="12"/>
      <c r="H1501" s="10">
        <v>270.5</v>
      </c>
      <c r="I1501" s="12">
        <f>H1501*(1-'[1]Discounts page'!D$24)</f>
        <v>121.72499999999999</v>
      </c>
      <c r="J1501" s="55">
        <f t="shared" si="39"/>
        <v>183</v>
      </c>
    </row>
    <row r="1502" spans="1:10" ht="18.75" x14ac:dyDescent="0.3">
      <c r="A1502" s="8" t="s">
        <v>1865</v>
      </c>
      <c r="B1502" s="9" t="s">
        <v>1867</v>
      </c>
      <c r="C1502" s="9" t="s">
        <v>1713</v>
      </c>
      <c r="F1502" s="10"/>
      <c r="G1502" s="12"/>
      <c r="H1502" s="10">
        <v>238.9</v>
      </c>
      <c r="I1502" s="12">
        <f>H1502*(1-'[1]Discounts page'!D$24)</f>
        <v>107.505</v>
      </c>
      <c r="J1502" s="55">
        <f t="shared" si="39"/>
        <v>162</v>
      </c>
    </row>
    <row r="1503" spans="1:10" ht="18.75" x14ac:dyDescent="0.3">
      <c r="A1503" s="8" t="s">
        <v>1868</v>
      </c>
      <c r="B1503" s="9" t="s">
        <v>1869</v>
      </c>
      <c r="C1503" s="9" t="s">
        <v>1713</v>
      </c>
      <c r="F1503" s="10"/>
      <c r="G1503" s="12"/>
      <c r="H1503" s="10">
        <v>63.2</v>
      </c>
      <c r="I1503" s="12">
        <f>H1503*(1-'[1]Discounts page'!D$24)</f>
        <v>28.439999999999998</v>
      </c>
      <c r="J1503" s="55">
        <f t="shared" si="39"/>
        <v>43</v>
      </c>
    </row>
    <row r="1504" spans="1:10" ht="18.75" x14ac:dyDescent="0.3">
      <c r="A1504" s="8" t="s">
        <v>1870</v>
      </c>
      <c r="B1504" s="9" t="s">
        <v>1871</v>
      </c>
      <c r="C1504" s="9" t="s">
        <v>1713</v>
      </c>
      <c r="F1504" s="10"/>
      <c r="G1504" s="12"/>
      <c r="H1504" s="10">
        <v>217.5</v>
      </c>
      <c r="I1504" s="12">
        <f>H1504*(1-'[1]Discounts page'!D$24)</f>
        <v>97.874999999999986</v>
      </c>
      <c r="J1504" s="55">
        <f t="shared" si="39"/>
        <v>147</v>
      </c>
    </row>
    <row r="1505" spans="1:10" ht="18.75" x14ac:dyDescent="0.3">
      <c r="A1505" s="8" t="s">
        <v>1870</v>
      </c>
      <c r="B1505" s="9" t="s">
        <v>1872</v>
      </c>
      <c r="C1505" s="9" t="s">
        <v>1713</v>
      </c>
      <c r="F1505" s="10"/>
      <c r="G1505" s="12"/>
      <c r="H1505" s="10">
        <v>186</v>
      </c>
      <c r="I1505" s="12">
        <f>H1505*(1-'[1]Discounts page'!D$24)</f>
        <v>83.699999999999989</v>
      </c>
      <c r="J1505" s="55">
        <f t="shared" si="39"/>
        <v>126</v>
      </c>
    </row>
    <row r="1506" spans="1:10" ht="18.75" x14ac:dyDescent="0.3">
      <c r="A1506" s="8" t="s">
        <v>1873</v>
      </c>
      <c r="B1506" s="9" t="s">
        <v>1874</v>
      </c>
      <c r="C1506" s="9" t="s">
        <v>1713</v>
      </c>
      <c r="F1506" s="10"/>
      <c r="G1506" s="12"/>
      <c r="H1506" s="10">
        <v>96.8</v>
      </c>
      <c r="I1506" s="12">
        <f>H1506*(1-'[1]Discounts page'!D$24)</f>
        <v>43.559999999999995</v>
      </c>
      <c r="J1506" s="55">
        <f t="shared" si="39"/>
        <v>66</v>
      </c>
    </row>
    <row r="1507" spans="1:10" ht="18.75" x14ac:dyDescent="0.3">
      <c r="A1507" s="8" t="s">
        <v>1875</v>
      </c>
      <c r="B1507" s="9" t="s">
        <v>1876</v>
      </c>
      <c r="C1507" s="9" t="s">
        <v>1713</v>
      </c>
      <c r="F1507" s="10"/>
      <c r="G1507" s="12"/>
      <c r="H1507" s="10">
        <v>534.30000000000007</v>
      </c>
      <c r="I1507" s="12">
        <f>H1507*(1-'[1]Discounts page'!D$24)</f>
        <v>240.435</v>
      </c>
      <c r="J1507" s="55">
        <f t="shared" si="39"/>
        <v>361</v>
      </c>
    </row>
    <row r="1508" spans="1:10" ht="18.75" x14ac:dyDescent="0.3">
      <c r="A1508" s="8" t="s">
        <v>1875</v>
      </c>
      <c r="B1508" s="9" t="s">
        <v>1877</v>
      </c>
      <c r="C1508" s="9" t="s">
        <v>1713</v>
      </c>
      <c r="F1508" s="10"/>
      <c r="G1508" s="9"/>
      <c r="H1508" s="10">
        <v>217.5</v>
      </c>
      <c r="I1508" s="12">
        <f>H1508*(1-'[1]Discounts page'!D$24)</f>
        <v>97.874999999999986</v>
      </c>
      <c r="J1508" s="55">
        <f t="shared" si="39"/>
        <v>147</v>
      </c>
    </row>
    <row r="1509" spans="1:10" ht="18.75" x14ac:dyDescent="0.3">
      <c r="A1509" s="9"/>
      <c r="B1509" s="9"/>
      <c r="C1509" s="9"/>
      <c r="F1509" s="10"/>
      <c r="G1509" s="9"/>
      <c r="H1509" s="9"/>
      <c r="I1509" s="9"/>
      <c r="J1509" s="55"/>
    </row>
    <row r="1510" spans="1:10" ht="18.75" x14ac:dyDescent="0.3">
      <c r="A1510" s="17" t="s">
        <v>1878</v>
      </c>
      <c r="B1510" s="5"/>
      <c r="C1510" s="5"/>
      <c r="F1510" s="14"/>
      <c r="G1510" s="5"/>
      <c r="H1510" s="5"/>
      <c r="I1510" s="5"/>
      <c r="J1510" s="55"/>
    </row>
    <row r="1511" spans="1:10" ht="18.75" x14ac:dyDescent="0.3">
      <c r="A1511" s="20" t="s">
        <v>1879</v>
      </c>
      <c r="B1511" s="9"/>
      <c r="C1511" s="9"/>
      <c r="F1511" s="10"/>
      <c r="G1511" s="9"/>
      <c r="H1511" s="10"/>
      <c r="I1511" s="12"/>
      <c r="J1511" s="55"/>
    </row>
    <row r="1512" spans="1:10" ht="18.75" x14ac:dyDescent="0.3">
      <c r="A1512" s="9" t="s">
        <v>1880</v>
      </c>
      <c r="B1512" s="9" t="s">
        <v>1881</v>
      </c>
      <c r="C1512" s="9" t="s">
        <v>1882</v>
      </c>
      <c r="F1512" s="10"/>
      <c r="G1512" s="9"/>
      <c r="H1512" s="10">
        <v>1170</v>
      </c>
      <c r="I1512" s="12">
        <f>H1512*(1-'[1]Discounts page'!D$26)</f>
        <v>877.5</v>
      </c>
      <c r="J1512" s="55">
        <f>H1512</f>
        <v>1170</v>
      </c>
    </row>
    <row r="1513" spans="1:10" ht="18.75" x14ac:dyDescent="0.3">
      <c r="A1513" s="9" t="s">
        <v>1883</v>
      </c>
      <c r="B1513" s="9" t="s">
        <v>1884</v>
      </c>
      <c r="C1513" s="9" t="s">
        <v>1882</v>
      </c>
      <c r="F1513" s="10"/>
      <c r="G1513" s="9"/>
      <c r="H1513" s="10">
        <v>1720</v>
      </c>
      <c r="I1513" s="12">
        <f>H1513*(1-'[1]Discounts page'!D$26)</f>
        <v>1290</v>
      </c>
      <c r="J1513" s="55">
        <f t="shared" ref="J1513:J1576" si="40">H1513</f>
        <v>1720</v>
      </c>
    </row>
    <row r="1514" spans="1:10" ht="18.75" x14ac:dyDescent="0.3">
      <c r="A1514" s="9" t="s">
        <v>1885</v>
      </c>
      <c r="B1514" s="9" t="s">
        <v>1886</v>
      </c>
      <c r="C1514" s="9" t="s">
        <v>1882</v>
      </c>
      <c r="F1514" s="10"/>
      <c r="G1514" s="9"/>
      <c r="H1514" s="10">
        <v>2350</v>
      </c>
      <c r="I1514" s="12">
        <f>H1514*(1-'[1]Discounts page'!D$26)</f>
        <v>1762.5</v>
      </c>
      <c r="J1514" s="55">
        <f t="shared" si="40"/>
        <v>2350</v>
      </c>
    </row>
    <row r="1515" spans="1:10" ht="18.75" x14ac:dyDescent="0.3">
      <c r="A1515" s="9" t="s">
        <v>1887</v>
      </c>
      <c r="B1515" s="9" t="s">
        <v>1888</v>
      </c>
      <c r="C1515" s="9" t="s">
        <v>1882</v>
      </c>
      <c r="F1515" s="10"/>
      <c r="G1515" s="9"/>
      <c r="H1515" s="10">
        <v>3610</v>
      </c>
      <c r="I1515" s="12">
        <f>H1515*(1-'[1]Discounts page'!D$26)</f>
        <v>2707.5</v>
      </c>
      <c r="J1515" s="55">
        <f t="shared" si="40"/>
        <v>3610</v>
      </c>
    </row>
    <row r="1516" spans="1:10" ht="18.75" x14ac:dyDescent="0.3">
      <c r="A1516" s="9" t="s">
        <v>1889</v>
      </c>
      <c r="B1516" s="9" t="s">
        <v>1890</v>
      </c>
      <c r="C1516" s="9" t="s">
        <v>1882</v>
      </c>
      <c r="F1516" s="10"/>
      <c r="G1516" s="9"/>
      <c r="H1516" s="10">
        <v>94</v>
      </c>
      <c r="I1516" s="12">
        <f>H1516*(1-30%)</f>
        <v>65.8</v>
      </c>
      <c r="J1516" s="55">
        <f t="shared" si="40"/>
        <v>94</v>
      </c>
    </row>
    <row r="1517" spans="1:10" ht="18.75" x14ac:dyDescent="0.3">
      <c r="A1517" s="9" t="s">
        <v>1891</v>
      </c>
      <c r="B1517" s="9" t="s">
        <v>1892</v>
      </c>
      <c r="C1517" s="9" t="s">
        <v>1882</v>
      </c>
      <c r="F1517" s="10"/>
      <c r="G1517" s="9"/>
      <c r="H1517" s="25" t="s">
        <v>1893</v>
      </c>
      <c r="I1517" s="26" t="s">
        <v>1893</v>
      </c>
      <c r="J1517" s="55" t="str">
        <f t="shared" si="40"/>
        <v>POA</v>
      </c>
    </row>
    <row r="1518" spans="1:10" ht="18.75" x14ac:dyDescent="0.3">
      <c r="A1518" s="9" t="s">
        <v>1894</v>
      </c>
      <c r="B1518" s="9" t="s">
        <v>1895</v>
      </c>
      <c r="C1518" s="9" t="s">
        <v>1882</v>
      </c>
      <c r="F1518" s="10"/>
      <c r="G1518" s="9"/>
      <c r="H1518" s="25" t="s">
        <v>1893</v>
      </c>
      <c r="I1518" s="26" t="s">
        <v>1893</v>
      </c>
      <c r="J1518" s="55" t="str">
        <f t="shared" si="40"/>
        <v>POA</v>
      </c>
    </row>
    <row r="1519" spans="1:10" ht="18.75" x14ac:dyDescent="0.3">
      <c r="A1519" s="9" t="s">
        <v>1896</v>
      </c>
      <c r="B1519" s="9" t="s">
        <v>1897</v>
      </c>
      <c r="C1519" s="9" t="s">
        <v>1882</v>
      </c>
      <c r="F1519" s="10"/>
      <c r="G1519" s="9"/>
      <c r="H1519" s="25" t="s">
        <v>1893</v>
      </c>
      <c r="I1519" s="26" t="s">
        <v>1893</v>
      </c>
      <c r="J1519" s="55" t="str">
        <f t="shared" si="40"/>
        <v>POA</v>
      </c>
    </row>
    <row r="1520" spans="1:10" ht="18.75" x14ac:dyDescent="0.3">
      <c r="A1520" s="9" t="s">
        <v>1898</v>
      </c>
      <c r="B1520" s="9" t="s">
        <v>1899</v>
      </c>
      <c r="C1520" s="9" t="s">
        <v>1882</v>
      </c>
      <c r="F1520" s="10"/>
      <c r="G1520" s="9"/>
      <c r="H1520" s="25" t="s">
        <v>1893</v>
      </c>
      <c r="I1520" s="26" t="s">
        <v>1893</v>
      </c>
      <c r="J1520" s="55" t="str">
        <f t="shared" si="40"/>
        <v>POA</v>
      </c>
    </row>
    <row r="1521" spans="1:10" ht="18.75" x14ac:dyDescent="0.3">
      <c r="A1521" s="9" t="s">
        <v>1900</v>
      </c>
      <c r="B1521" s="9" t="s">
        <v>1901</v>
      </c>
      <c r="C1521" s="9" t="s">
        <v>1882</v>
      </c>
      <c r="F1521" s="10"/>
      <c r="G1521" s="5"/>
      <c r="H1521" s="25" t="s">
        <v>1893</v>
      </c>
      <c r="I1521" s="26" t="s">
        <v>1893</v>
      </c>
      <c r="J1521" s="55" t="str">
        <f t="shared" si="40"/>
        <v>POA</v>
      </c>
    </row>
    <row r="1522" spans="1:10" ht="18.75" x14ac:dyDescent="0.3">
      <c r="A1522" s="5"/>
      <c r="B1522" s="5"/>
      <c r="C1522" s="5"/>
      <c r="F1522" s="14"/>
      <c r="G1522" s="9"/>
      <c r="H1522" s="27"/>
      <c r="I1522" s="28"/>
      <c r="J1522" s="55">
        <f t="shared" si="40"/>
        <v>0</v>
      </c>
    </row>
    <row r="1523" spans="1:10" ht="18.75" x14ac:dyDescent="0.3">
      <c r="A1523" s="20" t="s">
        <v>1902</v>
      </c>
      <c r="B1523" s="9"/>
      <c r="C1523" s="9"/>
      <c r="F1523" s="10"/>
      <c r="G1523" s="9"/>
      <c r="H1523" s="10"/>
      <c r="I1523" s="12"/>
      <c r="J1523" s="55">
        <f t="shared" si="40"/>
        <v>0</v>
      </c>
    </row>
    <row r="1524" spans="1:10" ht="18.75" x14ac:dyDescent="0.3">
      <c r="A1524" s="9" t="s">
        <v>1903</v>
      </c>
      <c r="B1524" s="9" t="s">
        <v>1904</v>
      </c>
      <c r="C1524" s="9" t="s">
        <v>1905</v>
      </c>
      <c r="F1524" s="10"/>
      <c r="G1524" s="9"/>
      <c r="H1524" s="25" t="s">
        <v>1893</v>
      </c>
      <c r="I1524" s="26" t="s">
        <v>1893</v>
      </c>
      <c r="J1524" s="55" t="str">
        <f t="shared" si="40"/>
        <v>POA</v>
      </c>
    </row>
    <row r="1525" spans="1:10" ht="18.75" x14ac:dyDescent="0.3">
      <c r="A1525" s="9" t="s">
        <v>1906</v>
      </c>
      <c r="B1525" s="9" t="s">
        <v>1907</v>
      </c>
      <c r="C1525" s="9" t="s">
        <v>1905</v>
      </c>
      <c r="F1525" s="10"/>
      <c r="G1525" s="9"/>
      <c r="H1525" s="25" t="s">
        <v>1893</v>
      </c>
      <c r="I1525" s="26" t="s">
        <v>1893</v>
      </c>
      <c r="J1525" s="55" t="str">
        <f t="shared" si="40"/>
        <v>POA</v>
      </c>
    </row>
    <row r="1526" spans="1:10" ht="18.75" x14ac:dyDescent="0.3">
      <c r="A1526" s="9" t="s">
        <v>1908</v>
      </c>
      <c r="B1526" s="9" t="s">
        <v>1909</v>
      </c>
      <c r="C1526" s="9" t="s">
        <v>1905</v>
      </c>
      <c r="F1526" s="10"/>
      <c r="G1526" s="9"/>
      <c r="H1526" s="25" t="s">
        <v>1893</v>
      </c>
      <c r="I1526" s="26" t="s">
        <v>1893</v>
      </c>
      <c r="J1526" s="55" t="str">
        <f t="shared" si="40"/>
        <v>POA</v>
      </c>
    </row>
    <row r="1527" spans="1:10" ht="18.75" x14ac:dyDescent="0.3">
      <c r="A1527" s="9" t="s">
        <v>1910</v>
      </c>
      <c r="B1527" s="9" t="s">
        <v>1911</v>
      </c>
      <c r="C1527" s="9" t="s">
        <v>1905</v>
      </c>
      <c r="F1527" s="10"/>
      <c r="G1527" s="9"/>
      <c r="H1527" s="25" t="s">
        <v>1893</v>
      </c>
      <c r="I1527" s="26" t="s">
        <v>1893</v>
      </c>
      <c r="J1527" s="55" t="str">
        <f t="shared" si="40"/>
        <v>POA</v>
      </c>
    </row>
    <row r="1528" spans="1:10" ht="18.75" x14ac:dyDescent="0.3">
      <c r="A1528" s="9" t="s">
        <v>1912</v>
      </c>
      <c r="B1528" s="9" t="s">
        <v>1913</v>
      </c>
      <c r="C1528" s="9" t="s">
        <v>1905</v>
      </c>
      <c r="F1528" s="10"/>
      <c r="G1528" s="9"/>
      <c r="H1528" s="25" t="s">
        <v>1893</v>
      </c>
      <c r="I1528" s="26" t="s">
        <v>1893</v>
      </c>
      <c r="J1528" s="55" t="str">
        <f t="shared" si="40"/>
        <v>POA</v>
      </c>
    </row>
    <row r="1529" spans="1:10" ht="18.75" x14ac:dyDescent="0.3">
      <c r="A1529" s="9" t="s">
        <v>1914</v>
      </c>
      <c r="B1529" s="9" t="s">
        <v>1915</v>
      </c>
      <c r="C1529" s="9" t="s">
        <v>1905</v>
      </c>
      <c r="F1529" s="10"/>
      <c r="G1529" s="5"/>
      <c r="H1529" s="25" t="s">
        <v>1893</v>
      </c>
      <c r="I1529" s="26" t="s">
        <v>1893</v>
      </c>
      <c r="J1529" s="55" t="str">
        <f t="shared" si="40"/>
        <v>POA</v>
      </c>
    </row>
    <row r="1530" spans="1:10" ht="18.75" x14ac:dyDescent="0.3">
      <c r="A1530" s="4"/>
      <c r="B1530" s="5"/>
      <c r="C1530" s="5"/>
      <c r="F1530" s="14"/>
      <c r="G1530" s="5"/>
      <c r="H1530" s="14"/>
      <c r="I1530" s="15"/>
      <c r="J1530" s="55">
        <f t="shared" si="40"/>
        <v>0</v>
      </c>
    </row>
    <row r="1531" spans="1:10" ht="18.75" x14ac:dyDescent="0.3">
      <c r="A1531" s="6" t="s">
        <v>1916</v>
      </c>
      <c r="B1531" s="5"/>
      <c r="C1531" s="5"/>
      <c r="F1531" s="14"/>
      <c r="G1531" s="9"/>
      <c r="H1531" s="14"/>
      <c r="I1531" s="15"/>
      <c r="J1531" s="55">
        <f t="shared" si="40"/>
        <v>0</v>
      </c>
    </row>
    <row r="1532" spans="1:10" ht="18.75" x14ac:dyDescent="0.3">
      <c r="A1532" s="20" t="s">
        <v>1917</v>
      </c>
      <c r="B1532" s="9"/>
      <c r="C1532" s="9"/>
      <c r="F1532" s="10"/>
      <c r="G1532" s="9"/>
      <c r="H1532" s="10"/>
      <c r="I1532" s="12"/>
      <c r="J1532" s="55">
        <f t="shared" si="40"/>
        <v>0</v>
      </c>
    </row>
    <row r="1533" spans="1:10" ht="18.75" x14ac:dyDescent="0.3">
      <c r="A1533" s="8" t="s">
        <v>1918</v>
      </c>
      <c r="B1533" s="9" t="s">
        <v>1919</v>
      </c>
      <c r="C1533" s="9" t="s">
        <v>1920</v>
      </c>
      <c r="F1533" s="10"/>
      <c r="G1533" s="9"/>
      <c r="H1533" s="25" t="s">
        <v>1893</v>
      </c>
      <c r="I1533" s="26" t="s">
        <v>1893</v>
      </c>
      <c r="J1533" s="55" t="str">
        <f t="shared" si="40"/>
        <v>POA</v>
      </c>
    </row>
    <row r="1534" spans="1:10" ht="18.75" x14ac:dyDescent="0.3">
      <c r="A1534" s="8" t="s">
        <v>1921</v>
      </c>
      <c r="B1534" s="9" t="s">
        <v>1922</v>
      </c>
      <c r="C1534" s="9" t="s">
        <v>1920</v>
      </c>
      <c r="F1534" s="10"/>
      <c r="G1534" s="9"/>
      <c r="H1534" s="25" t="s">
        <v>1893</v>
      </c>
      <c r="I1534" s="26" t="s">
        <v>1893</v>
      </c>
      <c r="J1534" s="55" t="str">
        <f t="shared" si="40"/>
        <v>POA</v>
      </c>
    </row>
    <row r="1535" spans="1:10" ht="18.75" x14ac:dyDescent="0.3">
      <c r="A1535" s="8" t="s">
        <v>1923</v>
      </c>
      <c r="B1535" s="9" t="s">
        <v>1924</v>
      </c>
      <c r="C1535" s="9" t="s">
        <v>1920</v>
      </c>
      <c r="F1535" s="10"/>
      <c r="G1535" s="9"/>
      <c r="H1535" s="25" t="s">
        <v>1893</v>
      </c>
      <c r="I1535" s="26" t="s">
        <v>1893</v>
      </c>
      <c r="J1535" s="55" t="str">
        <f t="shared" si="40"/>
        <v>POA</v>
      </c>
    </row>
    <row r="1536" spans="1:10" ht="18.75" x14ac:dyDescent="0.3">
      <c r="A1536" s="8" t="s">
        <v>1925</v>
      </c>
      <c r="B1536" s="9" t="s">
        <v>1926</v>
      </c>
      <c r="C1536" s="9" t="s">
        <v>1920</v>
      </c>
      <c r="F1536" s="10"/>
      <c r="G1536" s="9"/>
      <c r="H1536" s="10">
        <v>190</v>
      </c>
      <c r="I1536" s="12">
        <f>H1536*(1-'[1]Discounts page'!D$28)</f>
        <v>161.5</v>
      </c>
      <c r="J1536" s="55">
        <f t="shared" si="40"/>
        <v>190</v>
      </c>
    </row>
    <row r="1537" spans="1:10" ht="18.75" x14ac:dyDescent="0.3">
      <c r="A1537" s="20" t="s">
        <v>1927</v>
      </c>
      <c r="B1537" s="9"/>
      <c r="C1537" s="9"/>
      <c r="F1537" s="10"/>
      <c r="G1537" s="9"/>
      <c r="H1537" s="10"/>
      <c r="I1537" s="12"/>
      <c r="J1537" s="55">
        <f t="shared" si="40"/>
        <v>0</v>
      </c>
    </row>
    <row r="1538" spans="1:10" ht="18.75" x14ac:dyDescent="0.3">
      <c r="A1538" s="8">
        <v>24200</v>
      </c>
      <c r="B1538" s="9" t="s">
        <v>1928</v>
      </c>
      <c r="C1538" s="9" t="s">
        <v>1929</v>
      </c>
      <c r="F1538" s="10"/>
      <c r="G1538" s="9"/>
      <c r="H1538" s="10">
        <v>1764</v>
      </c>
      <c r="I1538" s="12">
        <f>H1538*(1-'[1]Discounts page'!D$29)</f>
        <v>1411.2</v>
      </c>
      <c r="J1538" s="55">
        <f t="shared" si="40"/>
        <v>1764</v>
      </c>
    </row>
    <row r="1539" spans="1:10" ht="18.75" x14ac:dyDescent="0.3">
      <c r="A1539" s="8">
        <v>24201</v>
      </c>
      <c r="B1539" s="9" t="s">
        <v>1930</v>
      </c>
      <c r="C1539" s="9" t="s">
        <v>1929</v>
      </c>
      <c r="F1539" s="10"/>
      <c r="G1539" s="9"/>
      <c r="H1539" s="10">
        <v>65.3</v>
      </c>
      <c r="I1539" s="12">
        <f>H1539*(1-'[1]Discounts page'!D$29)</f>
        <v>52.24</v>
      </c>
      <c r="J1539" s="55">
        <f t="shared" si="40"/>
        <v>65.3</v>
      </c>
    </row>
    <row r="1540" spans="1:10" ht="18.75" x14ac:dyDescent="0.3">
      <c r="A1540" s="8">
        <v>24202</v>
      </c>
      <c r="B1540" s="9" t="s">
        <v>1931</v>
      </c>
      <c r="C1540" s="9" t="s">
        <v>1929</v>
      </c>
      <c r="F1540" s="10"/>
      <c r="G1540" s="9"/>
      <c r="H1540" s="10">
        <v>177.79999999999998</v>
      </c>
      <c r="I1540" s="12">
        <f>H1540*(1-'[1]Discounts page'!D$29)</f>
        <v>142.23999999999998</v>
      </c>
      <c r="J1540" s="55">
        <f t="shared" si="40"/>
        <v>177.79999999999998</v>
      </c>
    </row>
    <row r="1541" spans="1:10" ht="18.75" x14ac:dyDescent="0.3">
      <c r="A1541" s="8">
        <v>24204</v>
      </c>
      <c r="B1541" s="9" t="s">
        <v>1932</v>
      </c>
      <c r="C1541" s="9" t="s">
        <v>1929</v>
      </c>
      <c r="F1541" s="10"/>
      <c r="G1541" s="9"/>
      <c r="H1541" s="10">
        <v>177.79999999999998</v>
      </c>
      <c r="I1541" s="12">
        <f>H1541*(1-'[1]Discounts page'!D$29)</f>
        <v>142.23999999999998</v>
      </c>
      <c r="J1541" s="55">
        <f t="shared" si="40"/>
        <v>177.79999999999998</v>
      </c>
    </row>
    <row r="1542" spans="1:10" ht="18.75" x14ac:dyDescent="0.3">
      <c r="A1542" s="8">
        <v>28220</v>
      </c>
      <c r="B1542" s="9" t="s">
        <v>1933</v>
      </c>
      <c r="C1542" s="9" t="s">
        <v>1929</v>
      </c>
      <c r="F1542" s="10"/>
      <c r="G1542" s="9"/>
      <c r="H1542" s="10">
        <v>2405.2999999999997</v>
      </c>
      <c r="I1542" s="12">
        <f>H1542*(1-'[1]Discounts page'!D$29)</f>
        <v>1924.2399999999998</v>
      </c>
      <c r="J1542" s="55">
        <f t="shared" si="40"/>
        <v>2405.2999999999997</v>
      </c>
    </row>
    <row r="1543" spans="1:10" ht="18.75" x14ac:dyDescent="0.3">
      <c r="A1543" s="8">
        <v>25909</v>
      </c>
      <c r="B1543" s="9" t="s">
        <v>1934</v>
      </c>
      <c r="C1543" s="9" t="s">
        <v>1929</v>
      </c>
      <c r="F1543" s="10"/>
      <c r="G1543" s="9"/>
      <c r="H1543" s="10">
        <v>540</v>
      </c>
      <c r="I1543" s="12">
        <f>H1543*(1-'[1]Discounts page'!D$29)</f>
        <v>432</v>
      </c>
      <c r="J1543" s="55">
        <f t="shared" si="40"/>
        <v>540</v>
      </c>
    </row>
    <row r="1544" spans="1:10" ht="18.75" x14ac:dyDescent="0.3">
      <c r="A1544" s="8" t="s">
        <v>1935</v>
      </c>
      <c r="B1544" s="9" t="s">
        <v>1936</v>
      </c>
      <c r="C1544" s="9" t="s">
        <v>1929</v>
      </c>
      <c r="F1544" s="10"/>
      <c r="G1544" s="9"/>
      <c r="H1544" s="10">
        <v>2362.5</v>
      </c>
      <c r="I1544" s="12">
        <f>H1544*(1-'[1]Discounts page'!D$29)</f>
        <v>1890</v>
      </c>
      <c r="J1544" s="55">
        <f t="shared" si="40"/>
        <v>2362.5</v>
      </c>
    </row>
    <row r="1545" spans="1:10" ht="18.75" x14ac:dyDescent="0.3">
      <c r="A1545" s="8" t="s">
        <v>1937</v>
      </c>
      <c r="B1545" s="9" t="s">
        <v>1938</v>
      </c>
      <c r="C1545" s="9" t="s">
        <v>1929</v>
      </c>
      <c r="F1545" s="10"/>
      <c r="G1545" s="9"/>
      <c r="H1545" s="10">
        <v>306.90000000000003</v>
      </c>
      <c r="I1545" s="12">
        <f>H1545*(1-'[1]Discounts page'!D$29)</f>
        <v>245.52000000000004</v>
      </c>
      <c r="J1545" s="55">
        <f t="shared" si="40"/>
        <v>306.90000000000003</v>
      </c>
    </row>
    <row r="1546" spans="1:10" ht="18.75" x14ac:dyDescent="0.3">
      <c r="A1546" s="8" t="s">
        <v>1939</v>
      </c>
      <c r="B1546" s="9" t="s">
        <v>1940</v>
      </c>
      <c r="C1546" s="9" t="s">
        <v>1929</v>
      </c>
      <c r="F1546" s="10"/>
      <c r="G1546" s="9"/>
      <c r="H1546" s="10">
        <v>306.90000000000003</v>
      </c>
      <c r="I1546" s="12">
        <f>H1546*(1-'[1]Discounts page'!D$29)</f>
        <v>245.52000000000004</v>
      </c>
      <c r="J1546" s="55">
        <f t="shared" si="40"/>
        <v>306.90000000000003</v>
      </c>
    </row>
    <row r="1547" spans="1:10" ht="18.75" x14ac:dyDescent="0.3">
      <c r="A1547" s="8" t="s">
        <v>1941</v>
      </c>
      <c r="B1547" s="9" t="s">
        <v>1942</v>
      </c>
      <c r="C1547" s="9" t="s">
        <v>1929</v>
      </c>
      <c r="F1547" s="10"/>
      <c r="G1547" s="9"/>
      <c r="H1547" s="10">
        <v>101.5</v>
      </c>
      <c r="I1547" s="12">
        <f>H1547*(1-'[1]Discounts page'!D$29)</f>
        <v>81.2</v>
      </c>
      <c r="J1547" s="55">
        <f t="shared" si="40"/>
        <v>101.5</v>
      </c>
    </row>
    <row r="1548" spans="1:10" ht="18.75" x14ac:dyDescent="0.3">
      <c r="A1548" s="8" t="s">
        <v>1943</v>
      </c>
      <c r="B1548" s="9" t="s">
        <v>1944</v>
      </c>
      <c r="C1548" s="9" t="s">
        <v>1929</v>
      </c>
      <c r="F1548" s="10"/>
      <c r="G1548" s="9"/>
      <c r="H1548" s="10">
        <v>65.3</v>
      </c>
      <c r="I1548" s="12">
        <f>H1548*(1-'[1]Discounts page'!D$29)</f>
        <v>52.24</v>
      </c>
      <c r="J1548" s="55">
        <f t="shared" si="40"/>
        <v>65.3</v>
      </c>
    </row>
    <row r="1549" spans="1:10" ht="18.75" x14ac:dyDescent="0.3">
      <c r="A1549" s="8" t="s">
        <v>1945</v>
      </c>
      <c r="B1549" s="9" t="s">
        <v>1946</v>
      </c>
      <c r="C1549" s="9" t="s">
        <v>1929</v>
      </c>
      <c r="F1549" s="10"/>
      <c r="G1549" s="9"/>
      <c r="H1549" s="10">
        <v>997.4</v>
      </c>
      <c r="I1549" s="12">
        <f>H1549*(1-'[1]Discounts page'!D$29)</f>
        <v>797.92000000000007</v>
      </c>
      <c r="J1549" s="55">
        <f t="shared" si="40"/>
        <v>997.4</v>
      </c>
    </row>
    <row r="1550" spans="1:10" ht="18.75" x14ac:dyDescent="0.3">
      <c r="A1550" s="8" t="s">
        <v>1947</v>
      </c>
      <c r="B1550" s="9" t="s">
        <v>1948</v>
      </c>
      <c r="C1550" s="9" t="s">
        <v>1929</v>
      </c>
      <c r="F1550" s="10"/>
      <c r="G1550" s="9"/>
      <c r="H1550" s="10">
        <v>81.699999999999989</v>
      </c>
      <c r="I1550" s="12">
        <f>H1550*(1-'[1]Discounts page'!D$29)</f>
        <v>65.36</v>
      </c>
      <c r="J1550" s="55">
        <f t="shared" si="40"/>
        <v>81.699999999999989</v>
      </c>
    </row>
    <row r="1551" spans="1:10" ht="18.75" x14ac:dyDescent="0.3">
      <c r="A1551" s="8" t="s">
        <v>1949</v>
      </c>
      <c r="B1551" s="9" t="s">
        <v>1950</v>
      </c>
      <c r="C1551" s="9" t="s">
        <v>1929</v>
      </c>
      <c r="F1551" s="10"/>
      <c r="G1551" s="9"/>
      <c r="H1551" s="10">
        <v>4126.5</v>
      </c>
      <c r="I1551" s="12">
        <f>H1551*(1-'[1]Discounts page'!D$29)</f>
        <v>3301.2000000000003</v>
      </c>
      <c r="J1551" s="55">
        <f t="shared" si="40"/>
        <v>4126.5</v>
      </c>
    </row>
    <row r="1552" spans="1:10" ht="18.75" x14ac:dyDescent="0.3">
      <c r="A1552" s="8" t="s">
        <v>1951</v>
      </c>
      <c r="B1552" s="9" t="s">
        <v>1952</v>
      </c>
      <c r="C1552" s="9" t="s">
        <v>1929</v>
      </c>
      <c r="F1552" s="10"/>
      <c r="G1552" s="9"/>
      <c r="H1552" s="10">
        <v>4338.6000000000004</v>
      </c>
      <c r="I1552" s="12">
        <f>H1552*(1-'[1]Discounts page'!D$29)</f>
        <v>3470.8800000000006</v>
      </c>
      <c r="J1552" s="55">
        <f t="shared" si="40"/>
        <v>4338.6000000000004</v>
      </c>
    </row>
    <row r="1553" spans="1:10" ht="18.75" x14ac:dyDescent="0.3">
      <c r="A1553" s="8">
        <v>27222</v>
      </c>
      <c r="B1553" s="9" t="s">
        <v>1953</v>
      </c>
      <c r="C1553" s="9" t="s">
        <v>1929</v>
      </c>
      <c r="F1553" s="10"/>
      <c r="G1553" s="9"/>
      <c r="H1553" s="10">
        <v>1383.5</v>
      </c>
      <c r="I1553" s="12">
        <f>H1553*(1-'[1]Discounts page'!D$29)</f>
        <v>1106.8</v>
      </c>
      <c r="J1553" s="55">
        <f t="shared" si="40"/>
        <v>1383.5</v>
      </c>
    </row>
    <row r="1554" spans="1:10" ht="18.75" x14ac:dyDescent="0.3">
      <c r="A1554" s="8">
        <v>27223</v>
      </c>
      <c r="B1554" s="9" t="s">
        <v>1954</v>
      </c>
      <c r="C1554" s="9" t="s">
        <v>1929</v>
      </c>
      <c r="F1554" s="10"/>
      <c r="G1554" s="9"/>
      <c r="H1554" s="10">
        <v>1383.5</v>
      </c>
      <c r="I1554" s="12">
        <f>H1554*(1-'[1]Discounts page'!D$29)</f>
        <v>1106.8</v>
      </c>
      <c r="J1554" s="55">
        <f t="shared" si="40"/>
        <v>1383.5</v>
      </c>
    </row>
    <row r="1555" spans="1:10" ht="18.75" x14ac:dyDescent="0.3">
      <c r="A1555" s="8">
        <v>27240</v>
      </c>
      <c r="B1555" s="9" t="s">
        <v>1955</v>
      </c>
      <c r="C1555" s="9" t="s">
        <v>1929</v>
      </c>
      <c r="F1555" s="10"/>
      <c r="G1555" s="9"/>
      <c r="H1555" s="10">
        <v>1383.5</v>
      </c>
      <c r="I1555" s="12">
        <f>H1555*(1-'[1]Discounts page'!D$29)</f>
        <v>1106.8</v>
      </c>
      <c r="J1555" s="55">
        <f t="shared" si="40"/>
        <v>1383.5</v>
      </c>
    </row>
    <row r="1556" spans="1:10" ht="18.75" x14ac:dyDescent="0.3">
      <c r="A1556" s="8">
        <v>25310</v>
      </c>
      <c r="B1556" s="9" t="s">
        <v>1956</v>
      </c>
      <c r="C1556" s="9" t="s">
        <v>1929</v>
      </c>
      <c r="F1556" s="10"/>
      <c r="G1556" s="9"/>
      <c r="H1556" s="10">
        <v>245.7</v>
      </c>
      <c r="I1556" s="12">
        <f>H1556*(1-'[1]Discounts page'!D$29)</f>
        <v>196.56</v>
      </c>
      <c r="J1556" s="55">
        <f t="shared" si="40"/>
        <v>245.7</v>
      </c>
    </row>
    <row r="1557" spans="1:10" ht="18.75" x14ac:dyDescent="0.3">
      <c r="A1557" s="8">
        <v>25312</v>
      </c>
      <c r="B1557" s="9" t="s">
        <v>1957</v>
      </c>
      <c r="C1557" s="9" t="s">
        <v>1929</v>
      </c>
      <c r="F1557" s="10"/>
      <c r="G1557" s="9"/>
      <c r="H1557" s="10">
        <v>192.7</v>
      </c>
      <c r="I1557" s="12">
        <f>H1557*(1-'[1]Discounts page'!D$29)</f>
        <v>154.16</v>
      </c>
      <c r="J1557" s="55">
        <f t="shared" si="40"/>
        <v>192.7</v>
      </c>
    </row>
    <row r="1558" spans="1:10" ht="18.75" x14ac:dyDescent="0.3">
      <c r="A1558" s="8">
        <v>25350</v>
      </c>
      <c r="B1558" s="9" t="s">
        <v>1958</v>
      </c>
      <c r="C1558" s="9" t="s">
        <v>1929</v>
      </c>
      <c r="F1558" s="10"/>
      <c r="G1558" s="9"/>
      <c r="H1558" s="25" t="s">
        <v>1893</v>
      </c>
      <c r="I1558" s="26" t="s">
        <v>1893</v>
      </c>
      <c r="J1558" s="55" t="str">
        <f t="shared" si="40"/>
        <v>POA</v>
      </c>
    </row>
    <row r="1559" spans="1:10" ht="18.75" x14ac:dyDescent="0.3">
      <c r="A1559" s="8">
        <v>25500</v>
      </c>
      <c r="B1559" s="9" t="s">
        <v>1959</v>
      </c>
      <c r="C1559" s="9" t="s">
        <v>1929</v>
      </c>
      <c r="F1559" s="10"/>
      <c r="G1559" s="9"/>
      <c r="H1559" s="25" t="s">
        <v>1893</v>
      </c>
      <c r="I1559" s="26" t="s">
        <v>1893</v>
      </c>
      <c r="J1559" s="55" t="str">
        <f t="shared" si="40"/>
        <v>POA</v>
      </c>
    </row>
    <row r="1560" spans="1:10" ht="18.75" x14ac:dyDescent="0.3">
      <c r="A1560" s="8">
        <v>25332</v>
      </c>
      <c r="B1560" s="9" t="s">
        <v>1960</v>
      </c>
      <c r="C1560" s="9" t="s">
        <v>1929</v>
      </c>
      <c r="F1560" s="10"/>
      <c r="G1560" s="9"/>
      <c r="H1560" s="10">
        <v>838.6</v>
      </c>
      <c r="I1560" s="12">
        <f>H1560*(1-'[1]Discounts page'!D$29)</f>
        <v>670.88000000000011</v>
      </c>
      <c r="J1560" s="55">
        <f t="shared" si="40"/>
        <v>838.6</v>
      </c>
    </row>
    <row r="1561" spans="1:10" ht="18.75" x14ac:dyDescent="0.3">
      <c r="A1561" s="8">
        <v>28007</v>
      </c>
      <c r="B1561" s="9" t="s">
        <v>1961</v>
      </c>
      <c r="C1561" s="9" t="s">
        <v>1929</v>
      </c>
      <c r="F1561" s="10"/>
      <c r="G1561" s="9"/>
      <c r="H1561" s="10">
        <v>15.1</v>
      </c>
      <c r="I1561" s="12">
        <f>H1561*(1-'[1]Discounts page'!D$29)</f>
        <v>12.08</v>
      </c>
      <c r="J1561" s="55">
        <f t="shared" si="40"/>
        <v>15.1</v>
      </c>
    </row>
    <row r="1562" spans="1:10" ht="18.75" x14ac:dyDescent="0.3">
      <c r="A1562" s="8" t="s">
        <v>1962</v>
      </c>
      <c r="B1562" s="9" t="s">
        <v>1963</v>
      </c>
      <c r="C1562" s="9" t="s">
        <v>1929</v>
      </c>
      <c r="F1562" s="10"/>
      <c r="G1562" s="9"/>
      <c r="H1562" s="25" t="s">
        <v>1893</v>
      </c>
      <c r="I1562" s="26" t="s">
        <v>1893</v>
      </c>
      <c r="J1562" s="55" t="str">
        <f t="shared" si="40"/>
        <v>POA</v>
      </c>
    </row>
    <row r="1563" spans="1:10" ht="18.75" x14ac:dyDescent="0.3">
      <c r="A1563" s="8" t="s">
        <v>1964</v>
      </c>
      <c r="B1563" s="9" t="s">
        <v>1965</v>
      </c>
      <c r="C1563" s="9" t="s">
        <v>1929</v>
      </c>
      <c r="F1563" s="10"/>
      <c r="G1563" s="9"/>
      <c r="H1563" s="25" t="s">
        <v>1893</v>
      </c>
      <c r="I1563" s="26" t="s">
        <v>1893</v>
      </c>
      <c r="J1563" s="55" t="str">
        <f t="shared" si="40"/>
        <v>POA</v>
      </c>
    </row>
    <row r="1564" spans="1:10" ht="18.75" x14ac:dyDescent="0.3">
      <c r="A1564" s="8" t="s">
        <v>1966</v>
      </c>
      <c r="B1564" s="9" t="s">
        <v>1967</v>
      </c>
      <c r="C1564" s="9" t="s">
        <v>1929</v>
      </c>
      <c r="F1564" s="10"/>
      <c r="G1564" s="9"/>
      <c r="H1564" s="10">
        <v>457.3</v>
      </c>
      <c r="I1564" s="12">
        <f>H1564*(1-'[1]Discounts page'!D$29)</f>
        <v>365.84000000000003</v>
      </c>
      <c r="J1564" s="55">
        <f t="shared" si="40"/>
        <v>457.3</v>
      </c>
    </row>
    <row r="1565" spans="1:10" ht="18.75" x14ac:dyDescent="0.3">
      <c r="A1565" s="8" t="s">
        <v>1968</v>
      </c>
      <c r="B1565" s="9" t="s">
        <v>1969</v>
      </c>
      <c r="C1565" s="9" t="s">
        <v>1929</v>
      </c>
      <c r="F1565" s="10"/>
      <c r="G1565" s="9"/>
      <c r="H1565" s="10">
        <v>685</v>
      </c>
      <c r="I1565" s="12">
        <f>H1565*(1-'[1]Discounts page'!D$29)</f>
        <v>548</v>
      </c>
      <c r="J1565" s="55">
        <f t="shared" si="40"/>
        <v>685</v>
      </c>
    </row>
    <row r="1566" spans="1:10" ht="18.75" x14ac:dyDescent="0.3">
      <c r="A1566" s="8" t="s">
        <v>1970</v>
      </c>
      <c r="B1566" s="9" t="s">
        <v>1971</v>
      </c>
      <c r="C1566" s="9" t="s">
        <v>1929</v>
      </c>
      <c r="F1566" s="10"/>
      <c r="G1566" s="9"/>
      <c r="H1566" s="10">
        <v>1102.7</v>
      </c>
      <c r="I1566" s="12">
        <f>H1566*(1-'[1]Discounts page'!D$29)</f>
        <v>882.16000000000008</v>
      </c>
      <c r="J1566" s="55">
        <f t="shared" si="40"/>
        <v>1102.7</v>
      </c>
    </row>
    <row r="1567" spans="1:10" ht="18.75" x14ac:dyDescent="0.3">
      <c r="A1567" s="8" t="s">
        <v>1972</v>
      </c>
      <c r="B1567" s="9" t="s">
        <v>1973</v>
      </c>
      <c r="C1567" s="9" t="s">
        <v>1929</v>
      </c>
      <c r="F1567" s="10"/>
      <c r="G1567" s="9"/>
      <c r="H1567" s="10">
        <v>1102.6999999999998</v>
      </c>
      <c r="I1567" s="12">
        <f>H1567*(1-'[1]Discounts page'!D$29)</f>
        <v>882.15999999999985</v>
      </c>
      <c r="J1567" s="55">
        <f t="shared" si="40"/>
        <v>1102.6999999999998</v>
      </c>
    </row>
    <row r="1568" spans="1:10" ht="18.75" x14ac:dyDescent="0.3">
      <c r="A1568" s="8" t="s">
        <v>1974</v>
      </c>
      <c r="B1568" s="9" t="s">
        <v>1975</v>
      </c>
      <c r="C1568" s="9" t="s">
        <v>1929</v>
      </c>
      <c r="F1568" s="10"/>
      <c r="G1568" s="9"/>
      <c r="H1568" s="25" t="s">
        <v>1893</v>
      </c>
      <c r="I1568" s="26" t="s">
        <v>1893</v>
      </c>
      <c r="J1568" s="55" t="str">
        <f t="shared" si="40"/>
        <v>POA</v>
      </c>
    </row>
    <row r="1569" spans="1:10" ht="18.75" x14ac:dyDescent="0.3">
      <c r="A1569" s="8" t="s">
        <v>1976</v>
      </c>
      <c r="B1569" s="9" t="s">
        <v>1977</v>
      </c>
      <c r="C1569" s="9" t="s">
        <v>1929</v>
      </c>
      <c r="F1569" s="10"/>
      <c r="G1569" s="9"/>
      <c r="H1569" s="10">
        <v>514.5</v>
      </c>
      <c r="I1569" s="12">
        <f>H1569*(1-'[1]Discounts page'!D$29)</f>
        <v>411.6</v>
      </c>
      <c r="J1569" s="55">
        <f t="shared" si="40"/>
        <v>514.5</v>
      </c>
    </row>
    <row r="1570" spans="1:10" ht="18.75" x14ac:dyDescent="0.3">
      <c r="A1570" s="8" t="s">
        <v>1978</v>
      </c>
      <c r="B1570" s="9" t="s">
        <v>1979</v>
      </c>
      <c r="C1570" s="9" t="s">
        <v>1929</v>
      </c>
      <c r="F1570" s="10"/>
      <c r="G1570" s="9"/>
      <c r="H1570" s="10">
        <v>584.70000000000005</v>
      </c>
      <c r="I1570" s="12">
        <f>H1570*(1-'[1]Discounts page'!D$29)</f>
        <v>467.76000000000005</v>
      </c>
      <c r="J1570" s="55">
        <f t="shared" si="40"/>
        <v>584.70000000000005</v>
      </c>
    </row>
    <row r="1571" spans="1:10" ht="18.75" x14ac:dyDescent="0.3">
      <c r="A1571" s="8" t="s">
        <v>1980</v>
      </c>
      <c r="B1571" s="9" t="s">
        <v>1981</v>
      </c>
      <c r="C1571" s="9" t="s">
        <v>1929</v>
      </c>
      <c r="F1571" s="10"/>
      <c r="G1571" s="9"/>
      <c r="H1571" s="25" t="s">
        <v>1893</v>
      </c>
      <c r="I1571" s="26" t="s">
        <v>1893</v>
      </c>
      <c r="J1571" s="55" t="str">
        <f t="shared" si="40"/>
        <v>POA</v>
      </c>
    </row>
    <row r="1572" spans="1:10" ht="18.75" x14ac:dyDescent="0.3">
      <c r="A1572" s="8" t="s">
        <v>1982</v>
      </c>
      <c r="B1572" s="9" t="s">
        <v>1983</v>
      </c>
      <c r="C1572" s="9" t="s">
        <v>1929</v>
      </c>
      <c r="F1572" s="10"/>
      <c r="G1572" s="9"/>
      <c r="H1572" s="10">
        <v>1092.0999999999999</v>
      </c>
      <c r="I1572" s="12">
        <f>H1572*(1-'[1]Discounts page'!D$29)</f>
        <v>873.68</v>
      </c>
      <c r="J1572" s="55">
        <f t="shared" si="40"/>
        <v>1092.0999999999999</v>
      </c>
    </row>
    <row r="1573" spans="1:10" ht="18.75" x14ac:dyDescent="0.3">
      <c r="A1573" s="8" t="s">
        <v>1984</v>
      </c>
      <c r="B1573" s="9" t="s">
        <v>1985</v>
      </c>
      <c r="C1573" s="9" t="s">
        <v>1929</v>
      </c>
      <c r="F1573" s="10"/>
      <c r="G1573" s="9"/>
      <c r="H1573" s="10">
        <v>1004.3000000000001</v>
      </c>
      <c r="I1573" s="12">
        <f>H1573*(1-'[1]Discounts page'!D$29)</f>
        <v>803.44</v>
      </c>
      <c r="J1573" s="55">
        <f t="shared" si="40"/>
        <v>1004.3000000000001</v>
      </c>
    </row>
    <row r="1574" spans="1:10" ht="18.75" x14ac:dyDescent="0.3">
      <c r="A1574" s="8" t="s">
        <v>1986</v>
      </c>
      <c r="B1574" s="9" t="s">
        <v>1987</v>
      </c>
      <c r="C1574" s="9" t="s">
        <v>1929</v>
      </c>
      <c r="F1574" s="10"/>
      <c r="G1574" s="9"/>
      <c r="H1574" s="25" t="s">
        <v>1893</v>
      </c>
      <c r="I1574" s="26" t="s">
        <v>1893</v>
      </c>
      <c r="J1574" s="55" t="str">
        <f t="shared" si="40"/>
        <v>POA</v>
      </c>
    </row>
    <row r="1575" spans="1:10" ht="18.75" x14ac:dyDescent="0.3">
      <c r="A1575" s="8" t="s">
        <v>1988</v>
      </c>
      <c r="B1575" s="9" t="s">
        <v>1989</v>
      </c>
      <c r="C1575" s="9" t="s">
        <v>1929</v>
      </c>
      <c r="F1575" s="10"/>
      <c r="G1575" s="9"/>
      <c r="H1575" s="25" t="s">
        <v>1893</v>
      </c>
      <c r="I1575" s="26" t="s">
        <v>1893</v>
      </c>
      <c r="J1575" s="55" t="str">
        <f t="shared" si="40"/>
        <v>POA</v>
      </c>
    </row>
    <row r="1576" spans="1:10" ht="18.75" x14ac:dyDescent="0.3">
      <c r="A1576" s="8" t="s">
        <v>1990</v>
      </c>
      <c r="B1576" s="9" t="s">
        <v>1991</v>
      </c>
      <c r="C1576" s="9" t="s">
        <v>1929</v>
      </c>
      <c r="F1576" s="10"/>
      <c r="G1576" s="9"/>
      <c r="H1576" s="25" t="s">
        <v>1893</v>
      </c>
      <c r="I1576" s="26" t="s">
        <v>1893</v>
      </c>
      <c r="J1576" s="55" t="str">
        <f t="shared" si="40"/>
        <v>POA</v>
      </c>
    </row>
    <row r="1577" spans="1:10" ht="18.75" x14ac:dyDescent="0.3">
      <c r="A1577" s="8" t="s">
        <v>1992</v>
      </c>
      <c r="B1577" s="9" t="s">
        <v>1993</v>
      </c>
      <c r="C1577" s="9" t="s">
        <v>1929</v>
      </c>
      <c r="F1577" s="10"/>
      <c r="G1577" s="9"/>
      <c r="H1577" s="10">
        <v>525</v>
      </c>
      <c r="I1577" s="12">
        <f>H1577*(1-'[1]Discounts page'!D$29)</f>
        <v>420</v>
      </c>
      <c r="J1577" s="55">
        <f t="shared" ref="J1577:J1640" si="41">H1577</f>
        <v>525</v>
      </c>
    </row>
    <row r="1578" spans="1:10" ht="18.75" x14ac:dyDescent="0.3">
      <c r="A1578" s="8" t="s">
        <v>1994</v>
      </c>
      <c r="B1578" s="9" t="s">
        <v>1995</v>
      </c>
      <c r="C1578" s="9" t="s">
        <v>1929</v>
      </c>
      <c r="F1578" s="10"/>
      <c r="G1578" s="9"/>
      <c r="H1578" s="10">
        <v>325.5</v>
      </c>
      <c r="I1578" s="12">
        <f>H1578*(1-'[1]Discounts page'!D$29)</f>
        <v>260.40000000000003</v>
      </c>
      <c r="J1578" s="55">
        <f t="shared" si="41"/>
        <v>325.5</v>
      </c>
    </row>
    <row r="1579" spans="1:10" ht="18.75" x14ac:dyDescent="0.3">
      <c r="A1579" s="8" t="s">
        <v>1996</v>
      </c>
      <c r="B1579" s="9" t="s">
        <v>1997</v>
      </c>
      <c r="C1579" s="9" t="s">
        <v>1929</v>
      </c>
      <c r="F1579" s="10"/>
      <c r="G1579" s="9"/>
      <c r="H1579" s="25" t="s">
        <v>1893</v>
      </c>
      <c r="I1579" s="26" t="s">
        <v>1893</v>
      </c>
      <c r="J1579" s="55" t="str">
        <f t="shared" si="41"/>
        <v>POA</v>
      </c>
    </row>
    <row r="1580" spans="1:10" ht="18.75" x14ac:dyDescent="0.3">
      <c r="A1580" s="8" t="s">
        <v>1998</v>
      </c>
      <c r="B1580" s="9" t="s">
        <v>1999</v>
      </c>
      <c r="C1580" s="9" t="s">
        <v>1929</v>
      </c>
      <c r="F1580" s="10"/>
      <c r="G1580" s="9"/>
      <c r="H1580" s="25" t="s">
        <v>1893</v>
      </c>
      <c r="I1580" s="26" t="s">
        <v>1893</v>
      </c>
      <c r="J1580" s="55" t="str">
        <f t="shared" si="41"/>
        <v>POA</v>
      </c>
    </row>
    <row r="1581" spans="1:10" ht="18.75" x14ac:dyDescent="0.3">
      <c r="A1581" s="8" t="s">
        <v>2000</v>
      </c>
      <c r="B1581" s="9" t="s">
        <v>2001</v>
      </c>
      <c r="C1581" s="9" t="s">
        <v>1929</v>
      </c>
      <c r="F1581" s="10"/>
      <c r="G1581" s="9"/>
      <c r="H1581" s="25" t="s">
        <v>1893</v>
      </c>
      <c r="I1581" s="26" t="s">
        <v>1893</v>
      </c>
      <c r="J1581" s="55" t="str">
        <f t="shared" si="41"/>
        <v>POA</v>
      </c>
    </row>
    <row r="1582" spans="1:10" ht="18.75" x14ac:dyDescent="0.3">
      <c r="A1582" s="8" t="s">
        <v>2002</v>
      </c>
      <c r="B1582" s="9" t="s">
        <v>2003</v>
      </c>
      <c r="C1582" s="9" t="s">
        <v>1929</v>
      </c>
      <c r="F1582" s="10"/>
      <c r="G1582" s="9"/>
      <c r="H1582" s="25" t="s">
        <v>1893</v>
      </c>
      <c r="I1582" s="26" t="s">
        <v>1893</v>
      </c>
      <c r="J1582" s="55" t="str">
        <f t="shared" si="41"/>
        <v>POA</v>
      </c>
    </row>
    <row r="1583" spans="1:10" ht="18.75" x14ac:dyDescent="0.3">
      <c r="A1583" s="8" t="s">
        <v>2004</v>
      </c>
      <c r="B1583" s="9" t="s">
        <v>2005</v>
      </c>
      <c r="C1583" s="9" t="s">
        <v>1929</v>
      </c>
      <c r="F1583" s="10"/>
      <c r="G1583" s="9"/>
      <c r="H1583" s="25" t="s">
        <v>1893</v>
      </c>
      <c r="I1583" s="26" t="s">
        <v>1893</v>
      </c>
      <c r="J1583" s="55" t="str">
        <f t="shared" si="41"/>
        <v>POA</v>
      </c>
    </row>
    <row r="1584" spans="1:10" ht="18.75" x14ac:dyDescent="0.3">
      <c r="A1584" s="8" t="s">
        <v>2006</v>
      </c>
      <c r="B1584" s="9" t="s">
        <v>2007</v>
      </c>
      <c r="C1584" s="9" t="s">
        <v>1929</v>
      </c>
      <c r="F1584" s="10"/>
      <c r="G1584" s="9"/>
      <c r="H1584" s="25" t="s">
        <v>1893</v>
      </c>
      <c r="I1584" s="26" t="s">
        <v>1893</v>
      </c>
      <c r="J1584" s="55" t="str">
        <f t="shared" si="41"/>
        <v>POA</v>
      </c>
    </row>
    <row r="1585" spans="1:10" ht="18.75" x14ac:dyDescent="0.3">
      <c r="A1585" s="8" t="s">
        <v>2008</v>
      </c>
      <c r="B1585" s="9" t="s">
        <v>2009</v>
      </c>
      <c r="C1585" s="9" t="s">
        <v>1929</v>
      </c>
      <c r="F1585" s="10"/>
      <c r="G1585" s="9"/>
      <c r="H1585" s="10">
        <v>442.90000000000003</v>
      </c>
      <c r="I1585" s="12">
        <f>H1585*(1-'[1]Discounts page'!D$29)</f>
        <v>354.32000000000005</v>
      </c>
      <c r="J1585" s="55">
        <f t="shared" si="41"/>
        <v>442.90000000000003</v>
      </c>
    </row>
    <row r="1586" spans="1:10" ht="18.75" x14ac:dyDescent="0.3">
      <c r="A1586" s="8" t="s">
        <v>2010</v>
      </c>
      <c r="B1586" s="9" t="s">
        <v>2011</v>
      </c>
      <c r="C1586" s="9" t="s">
        <v>1929</v>
      </c>
      <c r="F1586" s="10"/>
      <c r="G1586" s="9"/>
      <c r="H1586" s="10">
        <v>33.300000000000004</v>
      </c>
      <c r="I1586" s="12">
        <f>H1586*(1-'[1]Discounts page'!D$29)</f>
        <v>26.640000000000004</v>
      </c>
      <c r="J1586" s="55">
        <f t="shared" si="41"/>
        <v>33.300000000000004</v>
      </c>
    </row>
    <row r="1587" spans="1:10" ht="18.75" x14ac:dyDescent="0.3">
      <c r="A1587" s="8" t="s">
        <v>2012</v>
      </c>
      <c r="B1587" s="9" t="s">
        <v>2013</v>
      </c>
      <c r="C1587" s="9" t="s">
        <v>1929</v>
      </c>
      <c r="F1587" s="10"/>
      <c r="G1587" s="9"/>
      <c r="H1587" s="10">
        <v>810.9</v>
      </c>
      <c r="I1587" s="12">
        <f>H1587*(1-'[1]Discounts page'!D$29)</f>
        <v>648.72</v>
      </c>
      <c r="J1587" s="55">
        <f t="shared" si="41"/>
        <v>810.9</v>
      </c>
    </row>
    <row r="1588" spans="1:10" ht="18.75" x14ac:dyDescent="0.3">
      <c r="A1588" s="8" t="s">
        <v>2014</v>
      </c>
      <c r="B1588" s="9" t="s">
        <v>2015</v>
      </c>
      <c r="C1588" s="9" t="s">
        <v>1929</v>
      </c>
      <c r="F1588" s="10"/>
      <c r="G1588" s="9"/>
      <c r="H1588" s="10">
        <v>1022.5</v>
      </c>
      <c r="I1588" s="12">
        <f>H1588*(1-'[1]Discounts page'!D$29)</f>
        <v>818</v>
      </c>
      <c r="J1588" s="55">
        <f t="shared" si="41"/>
        <v>1022.5</v>
      </c>
    </row>
    <row r="1589" spans="1:10" ht="18.75" x14ac:dyDescent="0.3">
      <c r="A1589" s="8"/>
      <c r="B1589" s="9"/>
      <c r="C1589" s="9"/>
      <c r="F1589" s="10"/>
      <c r="G1589" s="9"/>
      <c r="H1589" s="10"/>
      <c r="I1589" s="12"/>
      <c r="J1589" s="55">
        <f t="shared" si="41"/>
        <v>0</v>
      </c>
    </row>
    <row r="1590" spans="1:10" ht="18.75" x14ac:dyDescent="0.3">
      <c r="A1590" s="6" t="s">
        <v>2016</v>
      </c>
      <c r="B1590" s="9"/>
      <c r="C1590" s="9"/>
      <c r="F1590" s="10"/>
      <c r="G1590" s="9"/>
      <c r="H1590" s="10"/>
      <c r="I1590" s="12"/>
      <c r="J1590" s="55">
        <f t="shared" si="41"/>
        <v>0</v>
      </c>
    </row>
    <row r="1591" spans="1:10" ht="18.75" x14ac:dyDescent="0.3">
      <c r="A1591" s="20" t="s">
        <v>2017</v>
      </c>
      <c r="B1591" s="9"/>
      <c r="C1591" s="9"/>
      <c r="F1591" s="10"/>
      <c r="G1591" s="9"/>
      <c r="H1591" s="10"/>
      <c r="I1591" s="12"/>
      <c r="J1591" s="55">
        <f t="shared" si="41"/>
        <v>0</v>
      </c>
    </row>
    <row r="1592" spans="1:10" ht="18.75" x14ac:dyDescent="0.3">
      <c r="A1592" s="8">
        <v>71160218</v>
      </c>
      <c r="B1592" s="9" t="s">
        <v>2018</v>
      </c>
      <c r="C1592" s="9" t="s">
        <v>2019</v>
      </c>
      <c r="F1592" s="10"/>
      <c r="G1592" s="9"/>
      <c r="H1592" s="10">
        <v>12.96</v>
      </c>
      <c r="I1592" s="12">
        <f>H1592*(1-30%)</f>
        <v>9.0719999999999992</v>
      </c>
      <c r="J1592" s="55">
        <f t="shared" si="41"/>
        <v>12.96</v>
      </c>
    </row>
    <row r="1593" spans="1:10" ht="18.75" x14ac:dyDescent="0.3">
      <c r="A1593" s="8" t="s">
        <v>2020</v>
      </c>
      <c r="B1593" s="9" t="s">
        <v>2021</v>
      </c>
      <c r="C1593" s="9" t="s">
        <v>2019</v>
      </c>
      <c r="F1593" s="10"/>
      <c r="G1593" s="9"/>
      <c r="H1593" s="10">
        <v>51.84</v>
      </c>
      <c r="I1593" s="12">
        <f t="shared" ref="I1593:I1656" si="42">H1593*(1-30%)</f>
        <v>36.287999999999997</v>
      </c>
      <c r="J1593" s="55">
        <f t="shared" si="41"/>
        <v>51.84</v>
      </c>
    </row>
    <row r="1594" spans="1:10" ht="18.75" x14ac:dyDescent="0.3">
      <c r="A1594" s="8">
        <v>71160307</v>
      </c>
      <c r="B1594" s="9" t="s">
        <v>2022</v>
      </c>
      <c r="C1594" s="9" t="s">
        <v>2019</v>
      </c>
      <c r="F1594" s="10"/>
      <c r="G1594" s="9"/>
      <c r="H1594" s="10">
        <v>17.2</v>
      </c>
      <c r="I1594" s="12">
        <f t="shared" si="42"/>
        <v>12.04</v>
      </c>
      <c r="J1594" s="55">
        <f t="shared" si="41"/>
        <v>17.2</v>
      </c>
    </row>
    <row r="1595" spans="1:10" ht="18.75" x14ac:dyDescent="0.3">
      <c r="A1595" s="8">
        <v>71160409</v>
      </c>
      <c r="B1595" s="9" t="s">
        <v>2023</v>
      </c>
      <c r="C1595" s="9" t="s">
        <v>2019</v>
      </c>
      <c r="F1595" s="10"/>
      <c r="G1595" s="9"/>
      <c r="H1595" s="10">
        <v>12.1</v>
      </c>
      <c r="I1595" s="12">
        <f t="shared" si="42"/>
        <v>8.4699999999999989</v>
      </c>
      <c r="J1595" s="55">
        <f t="shared" si="41"/>
        <v>12.1</v>
      </c>
    </row>
    <row r="1596" spans="1:10" ht="18.75" x14ac:dyDescent="0.3">
      <c r="A1596" s="8" t="s">
        <v>2024</v>
      </c>
      <c r="B1596" s="9" t="s">
        <v>2025</v>
      </c>
      <c r="C1596" s="9" t="s">
        <v>2019</v>
      </c>
      <c r="F1596" s="10"/>
      <c r="G1596" s="9"/>
      <c r="H1596" s="10">
        <v>48.4</v>
      </c>
      <c r="I1596" s="12">
        <f t="shared" si="42"/>
        <v>33.879999999999995</v>
      </c>
      <c r="J1596" s="55">
        <f t="shared" si="41"/>
        <v>48.4</v>
      </c>
    </row>
    <row r="1597" spans="1:10" ht="18.75" x14ac:dyDescent="0.3">
      <c r="A1597" s="8">
        <v>71160511</v>
      </c>
      <c r="B1597" s="9" t="s">
        <v>2026</v>
      </c>
      <c r="C1597" s="9" t="s">
        <v>2019</v>
      </c>
      <c r="F1597" s="10"/>
      <c r="G1597" s="9"/>
      <c r="H1597" s="10">
        <v>11.1</v>
      </c>
      <c r="I1597" s="12">
        <f t="shared" si="42"/>
        <v>7.77</v>
      </c>
      <c r="J1597" s="55">
        <f t="shared" si="41"/>
        <v>11.1</v>
      </c>
    </row>
    <row r="1598" spans="1:10" ht="18.75" x14ac:dyDescent="0.3">
      <c r="A1598" s="8">
        <v>71160815</v>
      </c>
      <c r="B1598" s="9" t="s">
        <v>2027</v>
      </c>
      <c r="C1598" s="9" t="s">
        <v>2019</v>
      </c>
      <c r="F1598" s="10"/>
      <c r="G1598" s="9"/>
      <c r="H1598" s="10">
        <v>12.18</v>
      </c>
      <c r="I1598" s="12">
        <f t="shared" si="42"/>
        <v>8.5259999999999998</v>
      </c>
      <c r="J1598" s="55">
        <f t="shared" si="41"/>
        <v>12.18</v>
      </c>
    </row>
    <row r="1599" spans="1:10" ht="18.75" x14ac:dyDescent="0.3">
      <c r="A1599" s="8">
        <v>71160820</v>
      </c>
      <c r="B1599" s="9" t="s">
        <v>2028</v>
      </c>
      <c r="C1599" s="9" t="s">
        <v>2019</v>
      </c>
      <c r="F1599" s="10"/>
      <c r="G1599" s="9"/>
      <c r="H1599" s="10">
        <v>12.18</v>
      </c>
      <c r="I1599" s="12">
        <f t="shared" si="42"/>
        <v>8.5259999999999998</v>
      </c>
      <c r="J1599" s="55">
        <f t="shared" si="41"/>
        <v>12.18</v>
      </c>
    </row>
    <row r="1600" spans="1:10" ht="18.75" x14ac:dyDescent="0.3">
      <c r="A1600" s="8" t="s">
        <v>2029</v>
      </c>
      <c r="B1600" s="9" t="s">
        <v>2030</v>
      </c>
      <c r="C1600" s="9" t="s">
        <v>2019</v>
      </c>
      <c r="F1600" s="10"/>
      <c r="G1600" s="9"/>
      <c r="H1600" s="10">
        <v>48.72</v>
      </c>
      <c r="I1600" s="12">
        <f t="shared" si="42"/>
        <v>34.103999999999999</v>
      </c>
      <c r="J1600" s="55">
        <f t="shared" si="41"/>
        <v>48.72</v>
      </c>
    </row>
    <row r="1601" spans="1:10" ht="18.75" x14ac:dyDescent="0.3">
      <c r="A1601" s="8" t="s">
        <v>2031</v>
      </c>
      <c r="B1601" s="9" t="s">
        <v>2032</v>
      </c>
      <c r="C1601" s="9" t="s">
        <v>2019</v>
      </c>
      <c r="F1601" s="10"/>
      <c r="G1601" s="9"/>
      <c r="H1601" s="10">
        <v>48.72</v>
      </c>
      <c r="I1601" s="12">
        <f t="shared" si="42"/>
        <v>34.103999999999999</v>
      </c>
      <c r="J1601" s="55">
        <f t="shared" si="41"/>
        <v>48.72</v>
      </c>
    </row>
    <row r="1602" spans="1:10" ht="18.75" x14ac:dyDescent="0.3">
      <c r="A1602" s="8">
        <v>71190511</v>
      </c>
      <c r="B1602" s="9" t="s">
        <v>2033</v>
      </c>
      <c r="C1602" s="9" t="s">
        <v>2019</v>
      </c>
      <c r="F1602" s="10"/>
      <c r="G1602" s="9"/>
      <c r="H1602" s="10">
        <v>10.199999999999999</v>
      </c>
      <c r="I1602" s="12">
        <f t="shared" si="42"/>
        <v>7.1399999999999988</v>
      </c>
      <c r="J1602" s="55">
        <f t="shared" si="41"/>
        <v>10.199999999999999</v>
      </c>
    </row>
    <row r="1603" spans="1:10" ht="18.75" x14ac:dyDescent="0.3">
      <c r="A1603" s="8">
        <v>71190613</v>
      </c>
      <c r="B1603" s="9" t="s">
        <v>2034</v>
      </c>
      <c r="C1603" s="9" t="s">
        <v>2019</v>
      </c>
      <c r="F1603" s="10"/>
      <c r="G1603" s="9"/>
      <c r="H1603" s="10">
        <v>11</v>
      </c>
      <c r="I1603" s="12">
        <f t="shared" si="42"/>
        <v>7.6999999999999993</v>
      </c>
      <c r="J1603" s="55">
        <f t="shared" si="41"/>
        <v>11</v>
      </c>
    </row>
    <row r="1604" spans="1:10" ht="18.75" x14ac:dyDescent="0.3">
      <c r="A1604" s="8">
        <v>71190709</v>
      </c>
      <c r="B1604" s="9" t="s">
        <v>2035</v>
      </c>
      <c r="C1604" s="9" t="s">
        <v>2019</v>
      </c>
      <c r="F1604" s="10"/>
      <c r="G1604" s="9"/>
      <c r="H1604" s="10">
        <v>15.2</v>
      </c>
      <c r="I1604" s="12">
        <f t="shared" si="42"/>
        <v>10.639999999999999</v>
      </c>
      <c r="J1604" s="55">
        <f t="shared" si="41"/>
        <v>15.2</v>
      </c>
    </row>
    <row r="1605" spans="1:10" ht="18.75" x14ac:dyDescent="0.3">
      <c r="A1605" s="8">
        <v>71190815</v>
      </c>
      <c r="B1605" s="9" t="s">
        <v>2036</v>
      </c>
      <c r="C1605" s="9" t="s">
        <v>2019</v>
      </c>
      <c r="F1605" s="10"/>
      <c r="G1605" s="9"/>
      <c r="H1605" s="10">
        <v>12.2</v>
      </c>
      <c r="I1605" s="12">
        <f t="shared" si="42"/>
        <v>8.5399999999999991</v>
      </c>
      <c r="J1605" s="55">
        <f t="shared" si="41"/>
        <v>12.2</v>
      </c>
    </row>
    <row r="1606" spans="1:10" ht="18.75" x14ac:dyDescent="0.3">
      <c r="A1606" s="8">
        <v>71270101</v>
      </c>
      <c r="B1606" s="9" t="s">
        <v>2037</v>
      </c>
      <c r="C1606" s="9" t="s">
        <v>2019</v>
      </c>
      <c r="F1606" s="10"/>
      <c r="G1606" s="9"/>
      <c r="H1606" s="10">
        <v>13</v>
      </c>
      <c r="I1606" s="12">
        <f t="shared" si="42"/>
        <v>9.1</v>
      </c>
      <c r="J1606" s="55">
        <f t="shared" si="41"/>
        <v>13</v>
      </c>
    </row>
    <row r="1607" spans="1:10" ht="18.75" x14ac:dyDescent="0.3">
      <c r="A1607" s="8">
        <v>71270203</v>
      </c>
      <c r="B1607" s="9" t="s">
        <v>2038</v>
      </c>
      <c r="C1607" s="9" t="s">
        <v>2019</v>
      </c>
      <c r="F1607" s="10"/>
      <c r="G1607" s="9"/>
      <c r="H1607" s="10">
        <v>13</v>
      </c>
      <c r="I1607" s="12">
        <f t="shared" si="42"/>
        <v>9.1</v>
      </c>
      <c r="J1607" s="55">
        <f t="shared" si="41"/>
        <v>13</v>
      </c>
    </row>
    <row r="1608" spans="1:10" ht="18.75" x14ac:dyDescent="0.3">
      <c r="A1608" s="8" t="s">
        <v>2039</v>
      </c>
      <c r="B1608" s="9" t="s">
        <v>2040</v>
      </c>
      <c r="C1608" s="9" t="s">
        <v>2019</v>
      </c>
      <c r="F1608" s="10"/>
      <c r="G1608" s="9"/>
      <c r="H1608" s="10">
        <v>52</v>
      </c>
      <c r="I1608" s="12">
        <f t="shared" si="42"/>
        <v>36.4</v>
      </c>
      <c r="J1608" s="55">
        <f t="shared" si="41"/>
        <v>52</v>
      </c>
    </row>
    <row r="1609" spans="1:10" ht="18.75" x14ac:dyDescent="0.3">
      <c r="A1609" s="8">
        <v>71270305</v>
      </c>
      <c r="B1609" s="9" t="s">
        <v>2041</v>
      </c>
      <c r="C1609" s="9" t="s">
        <v>2019</v>
      </c>
      <c r="F1609" s="10"/>
      <c r="G1609" s="9"/>
      <c r="H1609" s="10">
        <v>17.2</v>
      </c>
      <c r="I1609" s="12">
        <f t="shared" si="42"/>
        <v>12.04</v>
      </c>
      <c r="J1609" s="55">
        <f t="shared" si="41"/>
        <v>17.2</v>
      </c>
    </row>
    <row r="1610" spans="1:10" ht="18.75" x14ac:dyDescent="0.3">
      <c r="A1610" s="8">
        <v>71270408</v>
      </c>
      <c r="B1610" s="9" t="s">
        <v>2042</v>
      </c>
      <c r="C1610" s="9" t="s">
        <v>2019</v>
      </c>
      <c r="F1610" s="10"/>
      <c r="G1610" s="9"/>
      <c r="H1610" s="10">
        <v>12.1</v>
      </c>
      <c r="I1610" s="12">
        <f t="shared" si="42"/>
        <v>8.4699999999999989</v>
      </c>
      <c r="J1610" s="55">
        <f t="shared" si="41"/>
        <v>12.1</v>
      </c>
    </row>
    <row r="1611" spans="1:10" ht="18.75" x14ac:dyDescent="0.3">
      <c r="A1611" s="8" t="s">
        <v>2043</v>
      </c>
      <c r="B1611" s="9" t="s">
        <v>2044</v>
      </c>
      <c r="C1611" s="9" t="s">
        <v>2019</v>
      </c>
      <c r="F1611" s="10"/>
      <c r="G1611" s="9"/>
      <c r="H1611" s="10">
        <v>48.4</v>
      </c>
      <c r="I1611" s="12">
        <f t="shared" si="42"/>
        <v>33.879999999999995</v>
      </c>
      <c r="J1611" s="55">
        <f t="shared" si="41"/>
        <v>48.4</v>
      </c>
    </row>
    <row r="1612" spans="1:10" ht="18.75" x14ac:dyDescent="0.3">
      <c r="A1612" s="8">
        <v>71270816</v>
      </c>
      <c r="B1612" s="9" t="s">
        <v>2045</v>
      </c>
      <c r="C1612" s="9" t="s">
        <v>2019</v>
      </c>
      <c r="F1612" s="10"/>
      <c r="G1612" s="9"/>
      <c r="H1612" s="10">
        <v>12.18</v>
      </c>
      <c r="I1612" s="12">
        <f t="shared" si="42"/>
        <v>8.5259999999999998</v>
      </c>
      <c r="J1612" s="55">
        <f t="shared" si="41"/>
        <v>12.18</v>
      </c>
    </row>
    <row r="1613" spans="1:10" ht="18.75" x14ac:dyDescent="0.3">
      <c r="A1613" s="8">
        <v>71270819</v>
      </c>
      <c r="B1613" s="9" t="s">
        <v>2046</v>
      </c>
      <c r="C1613" s="9" t="s">
        <v>2019</v>
      </c>
      <c r="F1613" s="10"/>
      <c r="G1613" s="9"/>
      <c r="H1613" s="10">
        <v>12.18</v>
      </c>
      <c r="I1613" s="12">
        <f t="shared" si="42"/>
        <v>8.5259999999999998</v>
      </c>
      <c r="J1613" s="55">
        <f t="shared" si="41"/>
        <v>12.18</v>
      </c>
    </row>
    <row r="1614" spans="1:10" ht="18.75" x14ac:dyDescent="0.3">
      <c r="A1614" s="8" t="s">
        <v>2047</v>
      </c>
      <c r="B1614" s="9" t="s">
        <v>2048</v>
      </c>
      <c r="C1614" s="9" t="s">
        <v>2019</v>
      </c>
      <c r="F1614" s="10"/>
      <c r="G1614" s="9"/>
      <c r="H1614" s="10">
        <v>48.72</v>
      </c>
      <c r="I1614" s="12">
        <f t="shared" si="42"/>
        <v>34.103999999999999</v>
      </c>
      <c r="J1614" s="55">
        <f t="shared" si="41"/>
        <v>48.72</v>
      </c>
    </row>
    <row r="1615" spans="1:10" ht="18.75" x14ac:dyDescent="0.3">
      <c r="A1615" s="8">
        <v>71280102</v>
      </c>
      <c r="B1615" s="9" t="s">
        <v>2049</v>
      </c>
      <c r="C1615" s="9" t="s">
        <v>2019</v>
      </c>
      <c r="F1615" s="10"/>
      <c r="G1615" s="9"/>
      <c r="H1615" s="10">
        <v>13</v>
      </c>
      <c r="I1615" s="12">
        <f t="shared" si="42"/>
        <v>9.1</v>
      </c>
      <c r="J1615" s="55">
        <f t="shared" si="41"/>
        <v>13</v>
      </c>
    </row>
    <row r="1616" spans="1:10" ht="18.75" x14ac:dyDescent="0.3">
      <c r="A1616" s="8">
        <v>71280204</v>
      </c>
      <c r="B1616" s="9" t="s">
        <v>2050</v>
      </c>
      <c r="C1616" s="9" t="s">
        <v>2019</v>
      </c>
      <c r="F1616" s="10"/>
      <c r="G1616" s="9"/>
      <c r="H1616" s="10">
        <v>13</v>
      </c>
      <c r="I1616" s="12">
        <f t="shared" si="42"/>
        <v>9.1</v>
      </c>
      <c r="J1616" s="55">
        <f t="shared" si="41"/>
        <v>13</v>
      </c>
    </row>
    <row r="1617" spans="1:10" ht="18.75" x14ac:dyDescent="0.3">
      <c r="A1617" s="8">
        <v>71280410</v>
      </c>
      <c r="B1617" s="9" t="s">
        <v>2051</v>
      </c>
      <c r="C1617" s="9" t="s">
        <v>2019</v>
      </c>
      <c r="F1617" s="10"/>
      <c r="G1617" s="9"/>
      <c r="H1617" s="10">
        <v>12.1</v>
      </c>
      <c r="I1617" s="12">
        <f t="shared" si="42"/>
        <v>8.4699999999999989</v>
      </c>
      <c r="J1617" s="55">
        <f t="shared" si="41"/>
        <v>12.1</v>
      </c>
    </row>
    <row r="1618" spans="1:10" ht="18.75" x14ac:dyDescent="0.3">
      <c r="A1618" s="8">
        <v>71290512</v>
      </c>
      <c r="B1618" s="9" t="s">
        <v>2052</v>
      </c>
      <c r="C1618" s="9" t="s">
        <v>2019</v>
      </c>
      <c r="F1618" s="10"/>
      <c r="G1618" s="9"/>
      <c r="H1618" s="10">
        <v>10.199999999999999</v>
      </c>
      <c r="I1618" s="12">
        <f t="shared" si="42"/>
        <v>7.1399999999999988</v>
      </c>
      <c r="J1618" s="55">
        <f t="shared" si="41"/>
        <v>10.199999999999999</v>
      </c>
    </row>
    <row r="1619" spans="1:10" ht="18.75" x14ac:dyDescent="0.3">
      <c r="A1619" s="8">
        <v>71290614</v>
      </c>
      <c r="B1619" s="9" t="s">
        <v>2053</v>
      </c>
      <c r="C1619" s="9" t="s">
        <v>2019</v>
      </c>
      <c r="F1619" s="10"/>
      <c r="G1619" s="9"/>
      <c r="H1619" s="10">
        <v>11</v>
      </c>
      <c r="I1619" s="12">
        <f t="shared" si="42"/>
        <v>7.6999999999999993</v>
      </c>
      <c r="J1619" s="55">
        <f t="shared" si="41"/>
        <v>11</v>
      </c>
    </row>
    <row r="1620" spans="1:10" ht="18.75" x14ac:dyDescent="0.3">
      <c r="A1620" s="8">
        <v>71290708</v>
      </c>
      <c r="B1620" s="9" t="s">
        <v>2054</v>
      </c>
      <c r="C1620" s="9" t="s">
        <v>2019</v>
      </c>
      <c r="F1620" s="10"/>
      <c r="G1620" s="9"/>
      <c r="H1620" s="10">
        <v>15.2</v>
      </c>
      <c r="I1620" s="12">
        <f t="shared" si="42"/>
        <v>10.639999999999999</v>
      </c>
      <c r="J1620" s="55">
        <f t="shared" si="41"/>
        <v>15.2</v>
      </c>
    </row>
    <row r="1621" spans="1:10" ht="18.75" x14ac:dyDescent="0.3">
      <c r="A1621" s="8">
        <v>71290816</v>
      </c>
      <c r="B1621" s="9" t="s">
        <v>2055</v>
      </c>
      <c r="C1621" s="9" t="s">
        <v>2019</v>
      </c>
      <c r="F1621" s="10"/>
      <c r="G1621" s="9"/>
      <c r="H1621" s="10">
        <v>12.2</v>
      </c>
      <c r="I1621" s="12">
        <f t="shared" si="42"/>
        <v>8.5399999999999991</v>
      </c>
      <c r="J1621" s="55">
        <f t="shared" si="41"/>
        <v>12.2</v>
      </c>
    </row>
    <row r="1622" spans="1:10" ht="18.75" x14ac:dyDescent="0.3">
      <c r="A1622" s="8">
        <v>71290912</v>
      </c>
      <c r="B1622" s="9" t="s">
        <v>2056</v>
      </c>
      <c r="C1622" s="9" t="s">
        <v>2019</v>
      </c>
      <c r="F1622" s="10"/>
      <c r="G1622" s="9"/>
      <c r="H1622" s="10">
        <v>11</v>
      </c>
      <c r="I1622" s="12">
        <f t="shared" si="42"/>
        <v>7.6999999999999993</v>
      </c>
      <c r="J1622" s="55">
        <f t="shared" si="41"/>
        <v>11</v>
      </c>
    </row>
    <row r="1623" spans="1:10" ht="18.75" x14ac:dyDescent="0.3">
      <c r="A1623" s="8">
        <v>71350203</v>
      </c>
      <c r="B1623" s="9" t="s">
        <v>2057</v>
      </c>
      <c r="C1623" s="9" t="s">
        <v>2019</v>
      </c>
      <c r="F1623" s="10"/>
      <c r="G1623" s="9"/>
      <c r="H1623" s="10">
        <v>12.96</v>
      </c>
      <c r="I1623" s="12">
        <f t="shared" si="42"/>
        <v>9.0719999999999992</v>
      </c>
      <c r="J1623" s="55">
        <f t="shared" si="41"/>
        <v>12.96</v>
      </c>
    </row>
    <row r="1624" spans="1:10" ht="18.75" x14ac:dyDescent="0.3">
      <c r="A1624" s="8" t="s">
        <v>2058</v>
      </c>
      <c r="B1624" s="9" t="s">
        <v>2059</v>
      </c>
      <c r="C1624" s="9" t="s">
        <v>2019</v>
      </c>
      <c r="F1624" s="10"/>
      <c r="G1624" s="9"/>
      <c r="H1624" s="10">
        <v>51.84</v>
      </c>
      <c r="I1624" s="12">
        <f t="shared" si="42"/>
        <v>36.287999999999997</v>
      </c>
      <c r="J1624" s="55">
        <f t="shared" si="41"/>
        <v>51.84</v>
      </c>
    </row>
    <row r="1625" spans="1:10" ht="18.75" x14ac:dyDescent="0.3">
      <c r="A1625" s="8">
        <v>71350409</v>
      </c>
      <c r="B1625" s="9" t="s">
        <v>2060</v>
      </c>
      <c r="C1625" s="9" t="s">
        <v>2019</v>
      </c>
      <c r="F1625" s="10"/>
      <c r="G1625" s="9"/>
      <c r="H1625" s="10">
        <v>12.03</v>
      </c>
      <c r="I1625" s="12">
        <f t="shared" si="42"/>
        <v>8.4209999999999994</v>
      </c>
      <c r="J1625" s="55">
        <f t="shared" si="41"/>
        <v>12.03</v>
      </c>
    </row>
    <row r="1626" spans="1:10" ht="18.75" x14ac:dyDescent="0.3">
      <c r="A1626" s="8" t="s">
        <v>2061</v>
      </c>
      <c r="B1626" s="9" t="s">
        <v>2062</v>
      </c>
      <c r="C1626" s="9" t="s">
        <v>2019</v>
      </c>
      <c r="F1626" s="10"/>
      <c r="G1626" s="9"/>
      <c r="H1626" s="10">
        <v>48.12</v>
      </c>
      <c r="I1626" s="12">
        <f t="shared" si="42"/>
        <v>33.683999999999997</v>
      </c>
      <c r="J1626" s="55">
        <f t="shared" si="41"/>
        <v>48.12</v>
      </c>
    </row>
    <row r="1627" spans="1:10" ht="18.75" x14ac:dyDescent="0.3">
      <c r="A1627" s="8">
        <v>71360101</v>
      </c>
      <c r="B1627" s="9" t="s">
        <v>2063</v>
      </c>
      <c r="C1627" s="9" t="s">
        <v>2019</v>
      </c>
      <c r="F1627" s="10"/>
      <c r="G1627" s="9"/>
      <c r="H1627" s="10">
        <v>13</v>
      </c>
      <c r="I1627" s="12">
        <f t="shared" si="42"/>
        <v>9.1</v>
      </c>
      <c r="J1627" s="55">
        <f t="shared" si="41"/>
        <v>13</v>
      </c>
    </row>
    <row r="1628" spans="1:10" ht="18.75" x14ac:dyDescent="0.3">
      <c r="A1628" s="8">
        <v>71360203</v>
      </c>
      <c r="B1628" s="9" t="s">
        <v>2064</v>
      </c>
      <c r="C1628" s="9" t="s">
        <v>2019</v>
      </c>
      <c r="F1628" s="10"/>
      <c r="G1628" s="9"/>
      <c r="H1628" s="10">
        <v>13</v>
      </c>
      <c r="I1628" s="12">
        <f t="shared" si="42"/>
        <v>9.1</v>
      </c>
      <c r="J1628" s="55">
        <f t="shared" si="41"/>
        <v>13</v>
      </c>
    </row>
    <row r="1629" spans="1:10" ht="18.75" x14ac:dyDescent="0.3">
      <c r="A1629" s="8">
        <v>71380101</v>
      </c>
      <c r="B1629" s="9" t="s">
        <v>2065</v>
      </c>
      <c r="C1629" s="9" t="s">
        <v>2019</v>
      </c>
      <c r="F1629" s="10"/>
      <c r="G1629" s="9"/>
      <c r="H1629" s="10">
        <v>13</v>
      </c>
      <c r="I1629" s="12">
        <f t="shared" si="42"/>
        <v>9.1</v>
      </c>
      <c r="J1629" s="55">
        <f t="shared" si="41"/>
        <v>13</v>
      </c>
    </row>
    <row r="1630" spans="1:10" ht="18.75" x14ac:dyDescent="0.3">
      <c r="A1630" s="8">
        <v>71380306</v>
      </c>
      <c r="B1630" s="9" t="s">
        <v>2066</v>
      </c>
      <c r="C1630" s="9" t="s">
        <v>2019</v>
      </c>
      <c r="F1630" s="10"/>
      <c r="G1630" s="9"/>
      <c r="H1630" s="10">
        <v>17.2</v>
      </c>
      <c r="I1630" s="12">
        <f t="shared" si="42"/>
        <v>12.04</v>
      </c>
      <c r="J1630" s="55">
        <f t="shared" si="41"/>
        <v>17.2</v>
      </c>
    </row>
    <row r="1631" spans="1:10" ht="18.75" x14ac:dyDescent="0.3">
      <c r="A1631" s="8">
        <v>71480101</v>
      </c>
      <c r="B1631" s="9" t="s">
        <v>2067</v>
      </c>
      <c r="C1631" s="9" t="s">
        <v>2019</v>
      </c>
      <c r="F1631" s="10"/>
      <c r="G1631" s="9"/>
      <c r="H1631" s="10">
        <v>13</v>
      </c>
      <c r="I1631" s="12">
        <f t="shared" si="42"/>
        <v>9.1</v>
      </c>
      <c r="J1631" s="55">
        <f t="shared" si="41"/>
        <v>13</v>
      </c>
    </row>
    <row r="1632" spans="1:10" ht="18.75" x14ac:dyDescent="0.3">
      <c r="A1632" s="8">
        <v>71480117</v>
      </c>
      <c r="B1632" s="9" t="s">
        <v>2068</v>
      </c>
      <c r="C1632" s="9" t="s">
        <v>2019</v>
      </c>
      <c r="F1632" s="10"/>
      <c r="G1632" s="9"/>
      <c r="H1632" s="10">
        <v>13</v>
      </c>
      <c r="I1632" s="12">
        <f t="shared" si="42"/>
        <v>9.1</v>
      </c>
      <c r="J1632" s="55">
        <f t="shared" si="41"/>
        <v>13</v>
      </c>
    </row>
    <row r="1633" spans="1:10" ht="18.75" x14ac:dyDescent="0.3">
      <c r="A1633" s="8">
        <v>71480218</v>
      </c>
      <c r="B1633" s="9" t="s">
        <v>2069</v>
      </c>
      <c r="C1633" s="9" t="s">
        <v>2019</v>
      </c>
      <c r="F1633" s="10"/>
      <c r="G1633" s="9"/>
      <c r="H1633" s="10">
        <v>13</v>
      </c>
      <c r="I1633" s="12">
        <f t="shared" si="42"/>
        <v>9.1</v>
      </c>
      <c r="J1633" s="55">
        <f t="shared" si="41"/>
        <v>13</v>
      </c>
    </row>
    <row r="1634" spans="1:10" ht="18.75" x14ac:dyDescent="0.3">
      <c r="A1634" s="8">
        <v>71480305</v>
      </c>
      <c r="B1634" s="9" t="s">
        <v>2070</v>
      </c>
      <c r="C1634" s="9" t="s">
        <v>2019</v>
      </c>
      <c r="F1634" s="10"/>
      <c r="G1634" s="9"/>
      <c r="H1634" s="10">
        <v>17.2</v>
      </c>
      <c r="I1634" s="12">
        <f t="shared" si="42"/>
        <v>12.04</v>
      </c>
      <c r="J1634" s="55">
        <f t="shared" si="41"/>
        <v>17.2</v>
      </c>
    </row>
    <row r="1635" spans="1:10" ht="18.75" x14ac:dyDescent="0.3">
      <c r="A1635" s="8">
        <v>71480307</v>
      </c>
      <c r="B1635" s="9" t="s">
        <v>2071</v>
      </c>
      <c r="C1635" s="9" t="s">
        <v>2019</v>
      </c>
      <c r="F1635" s="10"/>
      <c r="G1635" s="9"/>
      <c r="H1635" s="10">
        <v>17.2</v>
      </c>
      <c r="I1635" s="12">
        <f t="shared" si="42"/>
        <v>12.04</v>
      </c>
      <c r="J1635" s="55">
        <f t="shared" si="41"/>
        <v>17.2</v>
      </c>
    </row>
    <row r="1636" spans="1:10" ht="18.75" x14ac:dyDescent="0.3">
      <c r="A1636" s="8">
        <v>71480409</v>
      </c>
      <c r="B1636" s="9" t="s">
        <v>2072</v>
      </c>
      <c r="C1636" s="9" t="s">
        <v>2019</v>
      </c>
      <c r="F1636" s="10"/>
      <c r="G1636" s="9"/>
      <c r="H1636" s="10">
        <v>12.1</v>
      </c>
      <c r="I1636" s="12">
        <f t="shared" si="42"/>
        <v>8.4699999999999989</v>
      </c>
      <c r="J1636" s="55">
        <f t="shared" si="41"/>
        <v>12.1</v>
      </c>
    </row>
    <row r="1637" spans="1:10" ht="18.75" x14ac:dyDescent="0.3">
      <c r="A1637" s="8">
        <v>71481017</v>
      </c>
      <c r="B1637" s="9" t="s">
        <v>2073</v>
      </c>
      <c r="C1637" s="9" t="s">
        <v>2019</v>
      </c>
      <c r="F1637" s="10"/>
      <c r="G1637" s="9"/>
      <c r="H1637" s="10">
        <v>13</v>
      </c>
      <c r="I1637" s="12">
        <f t="shared" si="42"/>
        <v>9.1</v>
      </c>
      <c r="J1637" s="55">
        <f t="shared" si="41"/>
        <v>13</v>
      </c>
    </row>
    <row r="1638" spans="1:10" ht="18.75" x14ac:dyDescent="0.3">
      <c r="A1638" s="8">
        <v>71481109</v>
      </c>
      <c r="B1638" s="9" t="s">
        <v>2074</v>
      </c>
      <c r="C1638" s="9" t="s">
        <v>2019</v>
      </c>
      <c r="F1638" s="10"/>
      <c r="G1638" s="9"/>
      <c r="H1638" s="10">
        <v>16.7</v>
      </c>
      <c r="I1638" s="12">
        <f t="shared" si="42"/>
        <v>11.69</v>
      </c>
      <c r="J1638" s="55">
        <f t="shared" si="41"/>
        <v>16.7</v>
      </c>
    </row>
    <row r="1639" spans="1:10" ht="18.75" x14ac:dyDescent="0.3">
      <c r="A1639" s="8">
        <v>72010601</v>
      </c>
      <c r="B1639" s="9" t="s">
        <v>2075</v>
      </c>
      <c r="C1639" s="9" t="s">
        <v>2019</v>
      </c>
      <c r="F1639" s="10"/>
      <c r="G1639" s="9"/>
      <c r="H1639" s="10">
        <v>11</v>
      </c>
      <c r="I1639" s="12">
        <f t="shared" si="42"/>
        <v>7.6999999999999993</v>
      </c>
      <c r="J1639" s="55">
        <f t="shared" si="41"/>
        <v>11</v>
      </c>
    </row>
    <row r="1640" spans="1:10" ht="18.75" x14ac:dyDescent="0.3">
      <c r="A1640" s="8">
        <v>72010610</v>
      </c>
      <c r="B1640" s="9" t="s">
        <v>2076</v>
      </c>
      <c r="C1640" s="9" t="s">
        <v>2019</v>
      </c>
      <c r="F1640" s="10"/>
      <c r="G1640" s="9"/>
      <c r="H1640" s="10">
        <v>11</v>
      </c>
      <c r="I1640" s="12">
        <f t="shared" si="42"/>
        <v>7.6999999999999993</v>
      </c>
      <c r="J1640" s="55">
        <f t="shared" si="41"/>
        <v>11</v>
      </c>
    </row>
    <row r="1641" spans="1:10" ht="18.75" x14ac:dyDescent="0.3">
      <c r="A1641" s="8">
        <v>72010611</v>
      </c>
      <c r="B1641" s="9" t="s">
        <v>2077</v>
      </c>
      <c r="C1641" s="9" t="s">
        <v>2019</v>
      </c>
      <c r="F1641" s="10"/>
      <c r="G1641" s="9"/>
      <c r="H1641" s="10">
        <v>11</v>
      </c>
      <c r="I1641" s="12">
        <f t="shared" si="42"/>
        <v>7.6999999999999993</v>
      </c>
      <c r="J1641" s="55">
        <f t="shared" ref="J1641:J1693" si="43">H1641</f>
        <v>11</v>
      </c>
    </row>
    <row r="1642" spans="1:10" ht="18.75" x14ac:dyDescent="0.3">
      <c r="A1642" s="8">
        <v>72010614</v>
      </c>
      <c r="B1642" s="9" t="s">
        <v>2078</v>
      </c>
      <c r="C1642" s="9" t="s">
        <v>2019</v>
      </c>
      <c r="F1642" s="10"/>
      <c r="G1642" s="9"/>
      <c r="H1642" s="10">
        <v>12.7</v>
      </c>
      <c r="I1642" s="12">
        <f t="shared" si="42"/>
        <v>8.8899999999999988</v>
      </c>
      <c r="J1642" s="55">
        <f t="shared" si="43"/>
        <v>12.7</v>
      </c>
    </row>
    <row r="1643" spans="1:10" ht="18.75" x14ac:dyDescent="0.3">
      <c r="A1643" s="8">
        <v>72010615</v>
      </c>
      <c r="B1643" s="9" t="s">
        <v>2079</v>
      </c>
      <c r="C1643" s="9" t="s">
        <v>2019</v>
      </c>
      <c r="F1643" s="10"/>
      <c r="G1643" s="9"/>
      <c r="H1643" s="10">
        <v>12.7</v>
      </c>
      <c r="I1643" s="12">
        <f t="shared" si="42"/>
        <v>8.8899999999999988</v>
      </c>
      <c r="J1643" s="55">
        <f t="shared" si="43"/>
        <v>12.7</v>
      </c>
    </row>
    <row r="1644" spans="1:10" ht="18.75" x14ac:dyDescent="0.3">
      <c r="A1644" s="8">
        <v>72010616</v>
      </c>
      <c r="B1644" s="9" t="s">
        <v>2080</v>
      </c>
      <c r="C1644" s="9" t="s">
        <v>2019</v>
      </c>
      <c r="F1644" s="10"/>
      <c r="G1644" s="9"/>
      <c r="H1644" s="10">
        <v>12.7</v>
      </c>
      <c r="I1644" s="12">
        <f t="shared" si="42"/>
        <v>8.8899999999999988</v>
      </c>
      <c r="J1644" s="55">
        <f t="shared" si="43"/>
        <v>12.7</v>
      </c>
    </row>
    <row r="1645" spans="1:10" ht="18.75" x14ac:dyDescent="0.3">
      <c r="A1645" s="8">
        <v>72010709</v>
      </c>
      <c r="B1645" s="9" t="s">
        <v>2081</v>
      </c>
      <c r="C1645" s="9" t="s">
        <v>2019</v>
      </c>
      <c r="F1645" s="10"/>
      <c r="G1645" s="9"/>
      <c r="H1645" s="10">
        <v>11</v>
      </c>
      <c r="I1645" s="12">
        <f t="shared" si="42"/>
        <v>7.6999999999999993</v>
      </c>
      <c r="J1645" s="55">
        <f t="shared" si="43"/>
        <v>11</v>
      </c>
    </row>
    <row r="1646" spans="1:10" ht="18.75" x14ac:dyDescent="0.3">
      <c r="A1646" s="8">
        <v>72010713</v>
      </c>
      <c r="B1646" s="9" t="s">
        <v>2082</v>
      </c>
      <c r="C1646" s="9" t="s">
        <v>2019</v>
      </c>
      <c r="F1646" s="10"/>
      <c r="G1646" s="9"/>
      <c r="H1646" s="10">
        <v>12.7</v>
      </c>
      <c r="I1646" s="12">
        <f t="shared" si="42"/>
        <v>8.8899999999999988</v>
      </c>
      <c r="J1646" s="55">
        <f t="shared" si="43"/>
        <v>12.7</v>
      </c>
    </row>
    <row r="1647" spans="1:10" ht="18.75" x14ac:dyDescent="0.3">
      <c r="A1647" s="8">
        <v>72020507</v>
      </c>
      <c r="B1647" s="9" t="s">
        <v>2083</v>
      </c>
      <c r="C1647" s="9" t="s">
        <v>2019</v>
      </c>
      <c r="F1647" s="10"/>
      <c r="G1647" s="9"/>
      <c r="H1647" s="10">
        <v>11.4</v>
      </c>
      <c r="I1647" s="12">
        <f t="shared" si="42"/>
        <v>7.9799999999999995</v>
      </c>
      <c r="J1647" s="55">
        <f t="shared" si="43"/>
        <v>11.4</v>
      </c>
    </row>
    <row r="1648" spans="1:10" ht="18.75" x14ac:dyDescent="0.3">
      <c r="A1648" s="8">
        <v>72020602</v>
      </c>
      <c r="B1648" s="9" t="s">
        <v>2084</v>
      </c>
      <c r="C1648" s="9" t="s">
        <v>2019</v>
      </c>
      <c r="F1648" s="10"/>
      <c r="G1648" s="9"/>
      <c r="H1648" s="10">
        <v>9.6999999999999993</v>
      </c>
      <c r="I1648" s="12">
        <f t="shared" si="42"/>
        <v>6.7899999999999991</v>
      </c>
      <c r="J1648" s="55">
        <f t="shared" si="43"/>
        <v>9.6999999999999993</v>
      </c>
    </row>
    <row r="1649" spans="1:10" ht="18.75" x14ac:dyDescent="0.3">
      <c r="A1649" s="8">
        <v>72020607</v>
      </c>
      <c r="B1649" s="9" t="s">
        <v>2085</v>
      </c>
      <c r="C1649" s="9" t="s">
        <v>2019</v>
      </c>
      <c r="F1649" s="10"/>
      <c r="G1649" s="9"/>
      <c r="H1649" s="10">
        <v>11.4</v>
      </c>
      <c r="I1649" s="12">
        <f t="shared" si="42"/>
        <v>7.9799999999999995</v>
      </c>
      <c r="J1649" s="55">
        <f t="shared" si="43"/>
        <v>11.4</v>
      </c>
    </row>
    <row r="1650" spans="1:10" ht="18.75" x14ac:dyDescent="0.3">
      <c r="A1650" s="8">
        <v>72020612</v>
      </c>
      <c r="B1650" s="9" t="s">
        <v>2086</v>
      </c>
      <c r="C1650" s="9" t="s">
        <v>2019</v>
      </c>
      <c r="F1650" s="10"/>
      <c r="G1650" s="9"/>
      <c r="H1650" s="10">
        <v>9.6999999999999993</v>
      </c>
      <c r="I1650" s="12">
        <f t="shared" si="42"/>
        <v>6.7899999999999991</v>
      </c>
      <c r="J1650" s="55">
        <f t="shared" si="43"/>
        <v>9.6999999999999993</v>
      </c>
    </row>
    <row r="1651" spans="1:10" ht="18.75" x14ac:dyDescent="0.3">
      <c r="A1651" s="8">
        <v>72030103</v>
      </c>
      <c r="B1651" s="9" t="s">
        <v>2087</v>
      </c>
      <c r="C1651" s="9" t="s">
        <v>2019</v>
      </c>
      <c r="F1651" s="10"/>
      <c r="G1651" s="9"/>
      <c r="H1651" s="10">
        <v>13.5</v>
      </c>
      <c r="I1651" s="12">
        <f t="shared" si="42"/>
        <v>9.4499999999999993</v>
      </c>
      <c r="J1651" s="55">
        <f t="shared" si="43"/>
        <v>13.5</v>
      </c>
    </row>
    <row r="1652" spans="1:10" ht="18.75" x14ac:dyDescent="0.3">
      <c r="A1652" s="8">
        <v>72040103</v>
      </c>
      <c r="B1652" s="9" t="s">
        <v>2088</v>
      </c>
      <c r="C1652" s="9" t="s">
        <v>2019</v>
      </c>
      <c r="F1652" s="10"/>
      <c r="G1652" s="9"/>
      <c r="H1652" s="10">
        <v>13.1</v>
      </c>
      <c r="I1652" s="12">
        <f t="shared" si="42"/>
        <v>9.17</v>
      </c>
      <c r="J1652" s="55">
        <f t="shared" si="43"/>
        <v>13.1</v>
      </c>
    </row>
    <row r="1653" spans="1:10" ht="18.75" x14ac:dyDescent="0.3">
      <c r="A1653" s="8">
        <v>72050104</v>
      </c>
      <c r="B1653" s="9" t="s">
        <v>2089</v>
      </c>
      <c r="C1653" s="9" t="s">
        <v>2019</v>
      </c>
      <c r="F1653" s="10"/>
      <c r="G1653" s="9"/>
      <c r="H1653" s="10">
        <v>13.1</v>
      </c>
      <c r="I1653" s="12">
        <f t="shared" si="42"/>
        <v>9.17</v>
      </c>
      <c r="J1653" s="55">
        <f t="shared" si="43"/>
        <v>13.1</v>
      </c>
    </row>
    <row r="1654" spans="1:10" ht="18.75" x14ac:dyDescent="0.3">
      <c r="A1654" s="8">
        <v>72050317</v>
      </c>
      <c r="B1654" s="9" t="s">
        <v>2090</v>
      </c>
      <c r="C1654" s="9" t="s">
        <v>2019</v>
      </c>
      <c r="F1654" s="10"/>
      <c r="G1654" s="9"/>
      <c r="H1654" s="10">
        <v>13.1</v>
      </c>
      <c r="I1654" s="12">
        <f t="shared" si="42"/>
        <v>9.17</v>
      </c>
      <c r="J1654" s="55">
        <f t="shared" si="43"/>
        <v>13.1</v>
      </c>
    </row>
    <row r="1655" spans="1:10" ht="18.75" x14ac:dyDescent="0.3">
      <c r="A1655" s="8">
        <v>72050318</v>
      </c>
      <c r="B1655" s="9" t="s">
        <v>2091</v>
      </c>
      <c r="C1655" s="9" t="s">
        <v>2019</v>
      </c>
      <c r="F1655" s="10"/>
      <c r="G1655" s="9"/>
      <c r="H1655" s="10">
        <v>13.1</v>
      </c>
      <c r="I1655" s="12">
        <f t="shared" si="42"/>
        <v>9.17</v>
      </c>
      <c r="J1655" s="55">
        <f t="shared" si="43"/>
        <v>13.1</v>
      </c>
    </row>
    <row r="1656" spans="1:10" ht="18.75" x14ac:dyDescent="0.3">
      <c r="A1656" s="8">
        <v>72050704</v>
      </c>
      <c r="B1656" s="9" t="s">
        <v>2092</v>
      </c>
      <c r="C1656" s="9" t="s">
        <v>2019</v>
      </c>
      <c r="F1656" s="10"/>
      <c r="G1656" s="9"/>
      <c r="H1656" s="10">
        <v>13.1</v>
      </c>
      <c r="I1656" s="12">
        <f t="shared" si="42"/>
        <v>9.17</v>
      </c>
      <c r="J1656" s="55">
        <f t="shared" si="43"/>
        <v>13.1</v>
      </c>
    </row>
    <row r="1657" spans="1:10" ht="18.75" x14ac:dyDescent="0.3">
      <c r="A1657" s="8">
        <v>72050717</v>
      </c>
      <c r="B1657" s="9" t="s">
        <v>2093</v>
      </c>
      <c r="C1657" s="9" t="s">
        <v>2019</v>
      </c>
      <c r="F1657" s="10"/>
      <c r="G1657" s="9"/>
      <c r="H1657" s="10">
        <v>13.1</v>
      </c>
      <c r="I1657" s="12">
        <f t="shared" ref="I1657:I1693" si="44">H1657*(1-30%)</f>
        <v>9.17</v>
      </c>
      <c r="J1657" s="55">
        <f t="shared" si="43"/>
        <v>13.1</v>
      </c>
    </row>
    <row r="1658" spans="1:10" ht="18.75" x14ac:dyDescent="0.3">
      <c r="A1658" s="8">
        <v>72060104</v>
      </c>
      <c r="B1658" s="9" t="s">
        <v>2094</v>
      </c>
      <c r="C1658" s="9" t="s">
        <v>2019</v>
      </c>
      <c r="F1658" s="10"/>
      <c r="G1658" s="9"/>
      <c r="H1658" s="10">
        <v>13.1</v>
      </c>
      <c r="I1658" s="12">
        <f t="shared" si="44"/>
        <v>9.17</v>
      </c>
      <c r="J1658" s="55">
        <f t="shared" si="43"/>
        <v>13.1</v>
      </c>
    </row>
    <row r="1659" spans="1:10" ht="18.75" x14ac:dyDescent="0.3">
      <c r="A1659" s="8">
        <v>72060218</v>
      </c>
      <c r="B1659" s="9" t="s">
        <v>2095</v>
      </c>
      <c r="C1659" s="9" t="s">
        <v>2019</v>
      </c>
      <c r="F1659" s="10"/>
      <c r="G1659" s="9"/>
      <c r="H1659" s="10">
        <v>13.1</v>
      </c>
      <c r="I1659" s="12">
        <f t="shared" si="44"/>
        <v>9.17</v>
      </c>
      <c r="J1659" s="55">
        <f t="shared" si="43"/>
        <v>13.1</v>
      </c>
    </row>
    <row r="1660" spans="1:10" ht="18.75" x14ac:dyDescent="0.3">
      <c r="A1660" s="8">
        <v>72070403</v>
      </c>
      <c r="B1660" s="9" t="s">
        <v>2096</v>
      </c>
      <c r="C1660" s="9" t="s">
        <v>2019</v>
      </c>
      <c r="F1660" s="10"/>
      <c r="G1660" s="9"/>
      <c r="H1660" s="10">
        <v>13.1</v>
      </c>
      <c r="I1660" s="12">
        <f t="shared" si="44"/>
        <v>9.17</v>
      </c>
      <c r="J1660" s="55">
        <f t="shared" si="43"/>
        <v>13.1</v>
      </c>
    </row>
    <row r="1661" spans="1:10" ht="18.75" x14ac:dyDescent="0.3">
      <c r="A1661" s="8">
        <v>72070405</v>
      </c>
      <c r="B1661" s="9" t="s">
        <v>2097</v>
      </c>
      <c r="C1661" s="9" t="s">
        <v>2019</v>
      </c>
      <c r="F1661" s="10"/>
      <c r="G1661" s="9"/>
      <c r="H1661" s="10">
        <v>15.2</v>
      </c>
      <c r="I1661" s="12">
        <f t="shared" si="44"/>
        <v>10.639999999999999</v>
      </c>
      <c r="J1661" s="55">
        <f t="shared" si="43"/>
        <v>15.2</v>
      </c>
    </row>
    <row r="1662" spans="1:10" ht="18.75" x14ac:dyDescent="0.3">
      <c r="A1662" s="8">
        <v>72080403</v>
      </c>
      <c r="B1662" s="9" t="s">
        <v>2098</v>
      </c>
      <c r="C1662" s="9" t="s">
        <v>2019</v>
      </c>
      <c r="F1662" s="10"/>
      <c r="G1662" s="9"/>
      <c r="H1662" s="10">
        <v>13.5</v>
      </c>
      <c r="I1662" s="12">
        <f t="shared" si="44"/>
        <v>9.4499999999999993</v>
      </c>
      <c r="J1662" s="55">
        <f t="shared" si="43"/>
        <v>13.5</v>
      </c>
    </row>
    <row r="1663" spans="1:10" ht="18.75" x14ac:dyDescent="0.3">
      <c r="A1663" s="8">
        <v>72090606</v>
      </c>
      <c r="B1663" s="9" t="s">
        <v>2099</v>
      </c>
      <c r="C1663" s="9" t="s">
        <v>2019</v>
      </c>
      <c r="F1663" s="10"/>
      <c r="G1663" s="9"/>
      <c r="H1663" s="10">
        <v>11.4</v>
      </c>
      <c r="I1663" s="12">
        <f t="shared" si="44"/>
        <v>7.9799999999999995</v>
      </c>
      <c r="J1663" s="55">
        <f t="shared" si="43"/>
        <v>11.4</v>
      </c>
    </row>
    <row r="1664" spans="1:10" ht="18.75" x14ac:dyDescent="0.3">
      <c r="A1664" s="8">
        <v>72090608</v>
      </c>
      <c r="B1664" s="9" t="s">
        <v>2100</v>
      </c>
      <c r="C1664" s="9" t="s">
        <v>2019</v>
      </c>
      <c r="F1664" s="10"/>
      <c r="G1664" s="9"/>
      <c r="H1664" s="10">
        <v>15.2</v>
      </c>
      <c r="I1664" s="12">
        <f t="shared" si="44"/>
        <v>10.639999999999999</v>
      </c>
      <c r="J1664" s="55">
        <f t="shared" si="43"/>
        <v>15.2</v>
      </c>
    </row>
    <row r="1665" spans="1:10" ht="18.75" x14ac:dyDescent="0.3">
      <c r="A1665" s="8">
        <v>72100606</v>
      </c>
      <c r="B1665" s="9" t="s">
        <v>2101</v>
      </c>
      <c r="C1665" s="9" t="s">
        <v>2019</v>
      </c>
      <c r="F1665" s="10"/>
      <c r="G1665" s="9"/>
      <c r="H1665" s="10">
        <v>11.4</v>
      </c>
      <c r="I1665" s="12">
        <f t="shared" si="44"/>
        <v>7.9799999999999995</v>
      </c>
      <c r="J1665" s="55">
        <f t="shared" si="43"/>
        <v>11.4</v>
      </c>
    </row>
    <row r="1666" spans="1:10" ht="18.75" x14ac:dyDescent="0.3">
      <c r="A1666" s="8">
        <v>72100608</v>
      </c>
      <c r="B1666" s="9" t="s">
        <v>2102</v>
      </c>
      <c r="C1666" s="9" t="s">
        <v>2019</v>
      </c>
      <c r="F1666" s="10"/>
      <c r="G1666" s="9"/>
      <c r="H1666" s="10">
        <v>15.2</v>
      </c>
      <c r="I1666" s="12">
        <f t="shared" si="44"/>
        <v>10.639999999999999</v>
      </c>
      <c r="J1666" s="55">
        <f t="shared" si="43"/>
        <v>15.2</v>
      </c>
    </row>
    <row r="1667" spans="1:10" ht="18.75" x14ac:dyDescent="0.3">
      <c r="A1667" s="8">
        <v>72110019</v>
      </c>
      <c r="B1667" s="9" t="s">
        <v>2103</v>
      </c>
      <c r="C1667" s="9" t="s">
        <v>2019</v>
      </c>
      <c r="F1667" s="10"/>
      <c r="G1667" s="9"/>
      <c r="H1667" s="10">
        <v>15.2</v>
      </c>
      <c r="I1667" s="12">
        <f t="shared" si="44"/>
        <v>10.639999999999999</v>
      </c>
      <c r="J1667" s="55">
        <f t="shared" si="43"/>
        <v>15.2</v>
      </c>
    </row>
    <row r="1668" spans="1:10" ht="18.75" x14ac:dyDescent="0.3">
      <c r="A1668" s="8">
        <v>75000103</v>
      </c>
      <c r="B1668" s="9" t="s">
        <v>2104</v>
      </c>
      <c r="C1668" s="9" t="s">
        <v>2019</v>
      </c>
      <c r="F1668" s="10"/>
      <c r="G1668" s="9"/>
      <c r="H1668" s="10">
        <v>12.2</v>
      </c>
      <c r="I1668" s="12">
        <f t="shared" si="44"/>
        <v>8.5399999999999991</v>
      </c>
      <c r="J1668" s="55">
        <f t="shared" si="43"/>
        <v>12.2</v>
      </c>
    </row>
    <row r="1669" spans="1:10" ht="18.75" x14ac:dyDescent="0.3">
      <c r="A1669" s="8">
        <v>75000105</v>
      </c>
      <c r="B1669" s="9" t="s">
        <v>2105</v>
      </c>
      <c r="C1669" s="9" t="s">
        <v>2019</v>
      </c>
      <c r="F1669" s="10"/>
      <c r="G1669" s="9"/>
      <c r="H1669" s="10">
        <v>12.7</v>
      </c>
      <c r="I1669" s="12">
        <f t="shared" si="44"/>
        <v>8.8899999999999988</v>
      </c>
      <c r="J1669" s="55">
        <f t="shared" si="43"/>
        <v>12.7</v>
      </c>
    </row>
    <row r="1670" spans="1:10" ht="18.75" x14ac:dyDescent="0.3">
      <c r="A1670" s="8">
        <v>75000107</v>
      </c>
      <c r="B1670" s="9" t="s">
        <v>2106</v>
      </c>
      <c r="C1670" s="9" t="s">
        <v>2019</v>
      </c>
      <c r="F1670" s="10"/>
      <c r="G1670" s="9"/>
      <c r="H1670" s="10">
        <v>13.5</v>
      </c>
      <c r="I1670" s="12">
        <f t="shared" si="44"/>
        <v>9.4499999999999993</v>
      </c>
      <c r="J1670" s="55">
        <f t="shared" si="43"/>
        <v>13.5</v>
      </c>
    </row>
    <row r="1671" spans="1:10" ht="18.75" x14ac:dyDescent="0.3">
      <c r="A1671" s="8">
        <v>75000109</v>
      </c>
      <c r="B1671" s="9" t="s">
        <v>2107</v>
      </c>
      <c r="C1671" s="9" t="s">
        <v>2019</v>
      </c>
      <c r="F1671" s="10"/>
      <c r="G1671" s="9"/>
      <c r="H1671" s="10">
        <v>16.399999999999999</v>
      </c>
      <c r="I1671" s="12">
        <f t="shared" si="44"/>
        <v>11.479999999999999</v>
      </c>
      <c r="J1671" s="55">
        <f t="shared" si="43"/>
        <v>16.399999999999999</v>
      </c>
    </row>
    <row r="1672" spans="1:10" ht="18.75" x14ac:dyDescent="0.3">
      <c r="A1672" s="8">
        <v>75000110</v>
      </c>
      <c r="B1672" s="9" t="s">
        <v>2108</v>
      </c>
      <c r="C1672" s="9" t="s">
        <v>2019</v>
      </c>
      <c r="F1672" s="10"/>
      <c r="G1672" s="9"/>
      <c r="H1672" s="10">
        <v>17.7</v>
      </c>
      <c r="I1672" s="12">
        <f t="shared" si="44"/>
        <v>12.389999999999999</v>
      </c>
      <c r="J1672" s="55">
        <f t="shared" si="43"/>
        <v>17.7</v>
      </c>
    </row>
    <row r="1673" spans="1:10" ht="18.75" x14ac:dyDescent="0.3">
      <c r="A1673" s="8">
        <v>75000111</v>
      </c>
      <c r="B1673" s="9" t="s">
        <v>2109</v>
      </c>
      <c r="C1673" s="9" t="s">
        <v>2019</v>
      </c>
      <c r="F1673" s="10"/>
      <c r="G1673" s="9"/>
      <c r="H1673" s="10">
        <v>21.2</v>
      </c>
      <c r="I1673" s="12">
        <f t="shared" si="44"/>
        <v>14.839999999999998</v>
      </c>
      <c r="J1673" s="55">
        <f t="shared" si="43"/>
        <v>21.2</v>
      </c>
    </row>
    <row r="1674" spans="1:10" ht="18.75" x14ac:dyDescent="0.3">
      <c r="A1674" s="8">
        <v>75000201</v>
      </c>
      <c r="B1674" s="9" t="s">
        <v>2110</v>
      </c>
      <c r="C1674" s="9" t="s">
        <v>2019</v>
      </c>
      <c r="F1674" s="10"/>
      <c r="G1674" s="9"/>
      <c r="H1674" s="10">
        <v>11.4</v>
      </c>
      <c r="I1674" s="12">
        <f t="shared" si="44"/>
        <v>7.9799999999999995</v>
      </c>
      <c r="J1674" s="55">
        <f t="shared" si="43"/>
        <v>11.4</v>
      </c>
    </row>
    <row r="1675" spans="1:10" ht="18.75" x14ac:dyDescent="0.3">
      <c r="A1675" s="8">
        <v>75000202</v>
      </c>
      <c r="B1675" s="9" t="s">
        <v>2111</v>
      </c>
      <c r="C1675" s="9" t="s">
        <v>2019</v>
      </c>
      <c r="F1675" s="10"/>
      <c r="G1675" s="9"/>
      <c r="H1675" s="10">
        <v>11.4</v>
      </c>
      <c r="I1675" s="12">
        <f t="shared" si="44"/>
        <v>7.9799999999999995</v>
      </c>
      <c r="J1675" s="55">
        <f t="shared" si="43"/>
        <v>11.4</v>
      </c>
    </row>
    <row r="1676" spans="1:10" ht="18.75" x14ac:dyDescent="0.3">
      <c r="A1676" s="8">
        <v>75000204</v>
      </c>
      <c r="B1676" s="9" t="s">
        <v>2112</v>
      </c>
      <c r="C1676" s="9" t="s">
        <v>2019</v>
      </c>
      <c r="F1676" s="10"/>
      <c r="G1676" s="9"/>
      <c r="H1676" s="10">
        <v>11.4</v>
      </c>
      <c r="I1676" s="12">
        <f t="shared" si="44"/>
        <v>7.9799999999999995</v>
      </c>
      <c r="J1676" s="55">
        <f t="shared" si="43"/>
        <v>11.4</v>
      </c>
    </row>
    <row r="1677" spans="1:10" ht="18.75" x14ac:dyDescent="0.3">
      <c r="A1677" s="8">
        <v>75000206</v>
      </c>
      <c r="B1677" s="9" t="s">
        <v>2113</v>
      </c>
      <c r="C1677" s="9" t="s">
        <v>2019</v>
      </c>
      <c r="F1677" s="10"/>
      <c r="G1677" s="9"/>
      <c r="H1677" s="10">
        <v>12.2</v>
      </c>
      <c r="I1677" s="12">
        <f t="shared" si="44"/>
        <v>8.5399999999999991</v>
      </c>
      <c r="J1677" s="55">
        <f t="shared" si="43"/>
        <v>12.2</v>
      </c>
    </row>
    <row r="1678" spans="1:10" ht="18.75" x14ac:dyDescent="0.3">
      <c r="A1678" s="8">
        <v>75000208</v>
      </c>
      <c r="B1678" s="9" t="s">
        <v>2114</v>
      </c>
      <c r="C1678" s="9" t="s">
        <v>2019</v>
      </c>
      <c r="F1678" s="10"/>
      <c r="G1678" s="9"/>
      <c r="H1678" s="10">
        <v>13.9</v>
      </c>
      <c r="I1678" s="12">
        <f t="shared" si="44"/>
        <v>9.73</v>
      </c>
      <c r="J1678" s="55">
        <f t="shared" si="43"/>
        <v>13.9</v>
      </c>
    </row>
    <row r="1679" spans="1:10" ht="18.75" x14ac:dyDescent="0.3">
      <c r="A1679" s="8"/>
      <c r="B1679" s="9"/>
      <c r="C1679" s="9"/>
      <c r="F1679" s="10"/>
      <c r="G1679" s="9"/>
      <c r="H1679" s="10"/>
      <c r="I1679" s="12"/>
      <c r="J1679" s="55">
        <f t="shared" si="43"/>
        <v>0</v>
      </c>
    </row>
    <row r="1680" spans="1:10" ht="18.75" x14ac:dyDescent="0.3">
      <c r="A1680" s="16" t="s">
        <v>2115</v>
      </c>
      <c r="B1680" s="9"/>
      <c r="C1680" s="9"/>
      <c r="F1680" s="10"/>
      <c r="G1680" s="9"/>
      <c r="H1680" s="10"/>
      <c r="I1680" s="12"/>
      <c r="J1680" s="55">
        <f t="shared" si="43"/>
        <v>0</v>
      </c>
    </row>
    <row r="1681" spans="1:10" ht="18.75" x14ac:dyDescent="0.3">
      <c r="A1681" s="8" t="s">
        <v>2116</v>
      </c>
      <c r="B1681" s="9" t="s">
        <v>2117</v>
      </c>
      <c r="C1681" s="9" t="s">
        <v>2019</v>
      </c>
      <c r="F1681" s="10"/>
      <c r="G1681" s="9"/>
      <c r="H1681" s="10">
        <v>70</v>
      </c>
      <c r="I1681" s="12">
        <f t="shared" si="44"/>
        <v>49</v>
      </c>
      <c r="J1681" s="55">
        <f t="shared" si="43"/>
        <v>70</v>
      </c>
    </row>
    <row r="1682" spans="1:10" ht="18.75" x14ac:dyDescent="0.3">
      <c r="A1682" s="8" t="s">
        <v>2118</v>
      </c>
      <c r="B1682" s="9" t="s">
        <v>2119</v>
      </c>
      <c r="C1682" s="9" t="s">
        <v>2019</v>
      </c>
      <c r="F1682" s="10"/>
      <c r="G1682" s="9"/>
      <c r="H1682" s="10">
        <v>70</v>
      </c>
      <c r="I1682" s="12">
        <f t="shared" si="44"/>
        <v>49</v>
      </c>
      <c r="J1682" s="55">
        <f t="shared" si="43"/>
        <v>70</v>
      </c>
    </row>
    <row r="1683" spans="1:10" ht="18.75" x14ac:dyDescent="0.3">
      <c r="A1683" s="8" t="s">
        <v>2120</v>
      </c>
      <c r="B1683" s="9" t="s">
        <v>2121</v>
      </c>
      <c r="C1683" s="9" t="s">
        <v>2019</v>
      </c>
      <c r="F1683" s="10"/>
      <c r="G1683" s="9"/>
      <c r="H1683" s="10">
        <v>76.8</v>
      </c>
      <c r="I1683" s="12">
        <f t="shared" si="44"/>
        <v>53.76</v>
      </c>
      <c r="J1683" s="55">
        <f t="shared" si="43"/>
        <v>76.8</v>
      </c>
    </row>
    <row r="1684" spans="1:10" ht="18.75" x14ac:dyDescent="0.3">
      <c r="A1684" s="8" t="s">
        <v>2122</v>
      </c>
      <c r="B1684" s="9" t="s">
        <v>2123</v>
      </c>
      <c r="C1684" s="9" t="s">
        <v>2019</v>
      </c>
      <c r="F1684" s="10"/>
      <c r="G1684" s="9"/>
      <c r="H1684" s="10">
        <v>76.8</v>
      </c>
      <c r="I1684" s="12">
        <f t="shared" si="44"/>
        <v>53.76</v>
      </c>
      <c r="J1684" s="55">
        <f t="shared" si="43"/>
        <v>76.8</v>
      </c>
    </row>
    <row r="1685" spans="1:10" ht="18.75" x14ac:dyDescent="0.3">
      <c r="A1685" s="8" t="s">
        <v>2124</v>
      </c>
      <c r="B1685" s="9" t="s">
        <v>2125</v>
      </c>
      <c r="C1685" s="9" t="s">
        <v>2019</v>
      </c>
      <c r="F1685" s="10"/>
      <c r="G1685" s="9"/>
      <c r="H1685" s="10">
        <v>92</v>
      </c>
      <c r="I1685" s="12">
        <f t="shared" si="44"/>
        <v>64.399999999999991</v>
      </c>
      <c r="J1685" s="55">
        <f t="shared" si="43"/>
        <v>92</v>
      </c>
    </row>
    <row r="1686" spans="1:10" ht="18.75" x14ac:dyDescent="0.3">
      <c r="A1686" s="8" t="s">
        <v>2126</v>
      </c>
      <c r="B1686" s="9" t="s">
        <v>2127</v>
      </c>
      <c r="C1686" s="9" t="s">
        <v>2019</v>
      </c>
      <c r="F1686" s="10"/>
      <c r="G1686" s="9"/>
      <c r="H1686" s="10">
        <v>92</v>
      </c>
      <c r="I1686" s="12">
        <f t="shared" si="44"/>
        <v>64.399999999999991</v>
      </c>
      <c r="J1686" s="55">
        <f t="shared" si="43"/>
        <v>92</v>
      </c>
    </row>
    <row r="1687" spans="1:10" ht="18.75" x14ac:dyDescent="0.3">
      <c r="A1687" s="8" t="s">
        <v>2128</v>
      </c>
      <c r="B1687" s="9" t="s">
        <v>2129</v>
      </c>
      <c r="C1687" s="9" t="s">
        <v>2019</v>
      </c>
      <c r="F1687" s="10"/>
      <c r="G1687" s="9"/>
      <c r="H1687" s="10">
        <v>115</v>
      </c>
      <c r="I1687" s="12">
        <f t="shared" si="44"/>
        <v>80.5</v>
      </c>
      <c r="J1687" s="55">
        <f t="shared" si="43"/>
        <v>115</v>
      </c>
    </row>
    <row r="1688" spans="1:10" ht="18.75" x14ac:dyDescent="0.3">
      <c r="A1688" s="8" t="s">
        <v>2130</v>
      </c>
      <c r="B1688" s="9" t="s">
        <v>2131</v>
      </c>
      <c r="C1688" s="9" t="s">
        <v>2019</v>
      </c>
      <c r="F1688" s="10"/>
      <c r="G1688" s="9"/>
      <c r="H1688" s="10">
        <v>115</v>
      </c>
      <c r="I1688" s="12">
        <f t="shared" si="44"/>
        <v>80.5</v>
      </c>
      <c r="J1688" s="55">
        <f t="shared" si="43"/>
        <v>115</v>
      </c>
    </row>
    <row r="1689" spans="1:10" ht="18.75" x14ac:dyDescent="0.3">
      <c r="A1689" s="8" t="s">
        <v>2132</v>
      </c>
      <c r="B1689" s="9" t="s">
        <v>2133</v>
      </c>
      <c r="C1689" s="9" t="s">
        <v>2019</v>
      </c>
      <c r="F1689" s="10"/>
      <c r="G1689" s="9"/>
      <c r="H1689" s="10">
        <v>120</v>
      </c>
      <c r="I1689" s="12">
        <f t="shared" si="44"/>
        <v>84</v>
      </c>
      <c r="J1689" s="55">
        <f t="shared" si="43"/>
        <v>120</v>
      </c>
    </row>
    <row r="1690" spans="1:10" ht="18.75" x14ac:dyDescent="0.3">
      <c r="A1690" s="8" t="s">
        <v>2134</v>
      </c>
      <c r="B1690" s="9" t="s">
        <v>2135</v>
      </c>
      <c r="C1690" s="9" t="s">
        <v>2019</v>
      </c>
      <c r="F1690" s="10"/>
      <c r="G1690" s="9"/>
      <c r="H1690" s="10">
        <v>120</v>
      </c>
      <c r="I1690" s="12">
        <f t="shared" si="44"/>
        <v>84</v>
      </c>
      <c r="J1690" s="55">
        <f t="shared" si="43"/>
        <v>120</v>
      </c>
    </row>
    <row r="1691" spans="1:10" ht="18.75" x14ac:dyDescent="0.3">
      <c r="A1691" s="8">
        <v>783111011</v>
      </c>
      <c r="B1691" s="9" t="s">
        <v>2136</v>
      </c>
      <c r="C1691" s="9" t="s">
        <v>2019</v>
      </c>
      <c r="F1691" s="10"/>
      <c r="G1691" s="9"/>
      <c r="H1691" s="10">
        <v>70</v>
      </c>
      <c r="I1691" s="12">
        <f t="shared" si="44"/>
        <v>49</v>
      </c>
      <c r="J1691" s="55">
        <f t="shared" si="43"/>
        <v>70</v>
      </c>
    </row>
    <row r="1692" spans="1:10" ht="18.75" x14ac:dyDescent="0.3">
      <c r="A1692" s="8">
        <v>783111211</v>
      </c>
      <c r="B1692" s="9" t="s">
        <v>2137</v>
      </c>
      <c r="C1692" s="9" t="s">
        <v>2019</v>
      </c>
      <c r="F1692" s="10"/>
      <c r="G1692" s="9"/>
      <c r="H1692" s="10">
        <v>70</v>
      </c>
      <c r="I1692" s="12">
        <f t="shared" si="44"/>
        <v>49</v>
      </c>
      <c r="J1692" s="55">
        <f t="shared" si="43"/>
        <v>70</v>
      </c>
    </row>
    <row r="1693" spans="1:10" ht="18.75" x14ac:dyDescent="0.3">
      <c r="A1693" s="8">
        <v>783122008</v>
      </c>
      <c r="B1693" s="9" t="s">
        <v>2138</v>
      </c>
      <c r="C1693" s="9" t="s">
        <v>2019</v>
      </c>
      <c r="F1693" s="10"/>
      <c r="G1693" s="9"/>
      <c r="H1693" s="10">
        <v>135</v>
      </c>
      <c r="I1693" s="12">
        <f t="shared" si="44"/>
        <v>94.5</v>
      </c>
      <c r="J1693" s="55">
        <f t="shared" si="43"/>
        <v>135</v>
      </c>
    </row>
    <row r="1694" spans="1:10" ht="18.75" x14ac:dyDescent="0.3">
      <c r="A1694" s="8"/>
      <c r="B1694" s="9"/>
      <c r="C1694" s="9"/>
      <c r="F1694" s="10"/>
      <c r="G1694" s="5"/>
      <c r="H1694" s="10"/>
      <c r="I1694" s="12"/>
      <c r="J1694" s="55"/>
    </row>
    <row r="1695" spans="1:10" ht="18.75" x14ac:dyDescent="0.3">
      <c r="A1695" s="29" t="s">
        <v>2139</v>
      </c>
      <c r="B1695" s="5"/>
      <c r="C1695" s="5"/>
      <c r="F1695" s="14"/>
      <c r="G1695" s="9"/>
      <c r="H1695" s="15"/>
      <c r="I1695" s="5"/>
      <c r="J1695" s="55"/>
    </row>
    <row r="1696" spans="1:10" ht="18.75" x14ac:dyDescent="0.3">
      <c r="A1696" s="20" t="s">
        <v>2140</v>
      </c>
      <c r="B1696" s="9"/>
      <c r="C1696" s="9"/>
      <c r="F1696" s="10"/>
      <c r="G1696" s="9"/>
      <c r="H1696" s="12"/>
      <c r="I1696" s="9"/>
      <c r="J1696" s="55"/>
    </row>
    <row r="1697" spans="1:10" ht="18.75" x14ac:dyDescent="0.3">
      <c r="A1697" s="30">
        <v>321200095</v>
      </c>
      <c r="B1697" s="30" t="s">
        <v>2141</v>
      </c>
      <c r="C1697" s="9" t="s">
        <v>2142</v>
      </c>
      <c r="F1697" s="10"/>
      <c r="G1697" s="9"/>
      <c r="H1697" s="10">
        <v>83.3</v>
      </c>
      <c r="I1697" s="12">
        <f>H1697*(1-'[1]Discounts page'!D$30)</f>
        <v>49.98</v>
      </c>
      <c r="J1697" s="55">
        <f t="shared" ref="J1697:J1720" si="45">ROUNDUP(I1697*1.5,0)</f>
        <v>75</v>
      </c>
    </row>
    <row r="1698" spans="1:10" ht="18.75" x14ac:dyDescent="0.3">
      <c r="A1698" s="30">
        <v>321300095</v>
      </c>
      <c r="B1698" s="30" t="s">
        <v>2143</v>
      </c>
      <c r="C1698" s="9" t="s">
        <v>2142</v>
      </c>
      <c r="F1698" s="10"/>
      <c r="G1698" s="9"/>
      <c r="H1698" s="10">
        <v>94.3</v>
      </c>
      <c r="I1698" s="12">
        <f>H1698*(1-'[1]Discounts page'!D$30)</f>
        <v>56.58</v>
      </c>
      <c r="J1698" s="55">
        <f t="shared" si="45"/>
        <v>85</v>
      </c>
    </row>
    <row r="1699" spans="1:10" ht="18.75" x14ac:dyDescent="0.3">
      <c r="A1699" s="30">
        <v>321200120</v>
      </c>
      <c r="B1699" s="30" t="s">
        <v>2144</v>
      </c>
      <c r="C1699" s="9" t="s">
        <v>2142</v>
      </c>
      <c r="F1699" s="10"/>
      <c r="G1699" s="9"/>
      <c r="H1699" s="10">
        <v>92.7</v>
      </c>
      <c r="I1699" s="12">
        <f>H1699*(1-'[1]Discounts page'!D$30)</f>
        <v>55.62</v>
      </c>
      <c r="J1699" s="55">
        <f t="shared" si="45"/>
        <v>84</v>
      </c>
    </row>
    <row r="1700" spans="1:10" ht="18.75" x14ac:dyDescent="0.3">
      <c r="A1700" s="30">
        <v>321300120</v>
      </c>
      <c r="B1700" s="30" t="s">
        <v>2145</v>
      </c>
      <c r="C1700" s="9" t="s">
        <v>2142</v>
      </c>
      <c r="F1700" s="10"/>
      <c r="G1700" s="9"/>
      <c r="H1700" s="10">
        <v>104</v>
      </c>
      <c r="I1700" s="12">
        <f>H1700*(1-'[1]Discounts page'!D$30)</f>
        <v>62.4</v>
      </c>
      <c r="J1700" s="55">
        <f t="shared" si="45"/>
        <v>94</v>
      </c>
    </row>
    <row r="1701" spans="1:10" ht="18.75" x14ac:dyDescent="0.3">
      <c r="A1701" s="30">
        <v>321400120</v>
      </c>
      <c r="B1701" s="30" t="s">
        <v>2146</v>
      </c>
      <c r="C1701" s="9" t="s">
        <v>2142</v>
      </c>
      <c r="F1701" s="10"/>
      <c r="G1701" s="9"/>
      <c r="H1701" s="10">
        <v>132.5</v>
      </c>
      <c r="I1701" s="12">
        <f>H1701*(1-'[1]Discounts page'!D$30)</f>
        <v>79.5</v>
      </c>
      <c r="J1701" s="55">
        <f t="shared" si="45"/>
        <v>120</v>
      </c>
    </row>
    <row r="1702" spans="1:10" ht="18.75" x14ac:dyDescent="0.3">
      <c r="A1702" s="30">
        <v>321600120</v>
      </c>
      <c r="B1702" s="30" t="s">
        <v>2147</v>
      </c>
      <c r="C1702" s="9" t="s">
        <v>2142</v>
      </c>
      <c r="F1702" s="10"/>
      <c r="G1702" s="9"/>
      <c r="H1702" s="10">
        <v>150</v>
      </c>
      <c r="I1702" s="12">
        <f>H1702*(1-'[1]Discounts page'!D$30)</f>
        <v>90</v>
      </c>
      <c r="J1702" s="55">
        <f t="shared" si="45"/>
        <v>135</v>
      </c>
    </row>
    <row r="1703" spans="1:10" ht="18.75" x14ac:dyDescent="0.3">
      <c r="A1703" s="30">
        <v>321800120</v>
      </c>
      <c r="B1703" s="30" t="s">
        <v>2148</v>
      </c>
      <c r="C1703" s="9" t="s">
        <v>2142</v>
      </c>
      <c r="F1703" s="10"/>
      <c r="G1703" s="9"/>
      <c r="H1703" s="10">
        <v>172.5</v>
      </c>
      <c r="I1703" s="12">
        <f>H1703*(1-'[1]Discounts page'!D$30)</f>
        <v>103.5</v>
      </c>
      <c r="J1703" s="55">
        <f t="shared" si="45"/>
        <v>156</v>
      </c>
    </row>
    <row r="1704" spans="1:10" ht="18.75" x14ac:dyDescent="0.3">
      <c r="A1704" s="30">
        <v>3211000120</v>
      </c>
      <c r="B1704" s="30" t="s">
        <v>2149</v>
      </c>
      <c r="C1704" s="9" t="s">
        <v>2142</v>
      </c>
      <c r="F1704" s="10"/>
      <c r="G1704" s="9"/>
      <c r="H1704" s="10">
        <v>192.8</v>
      </c>
      <c r="I1704" s="12">
        <f>H1704*(1-'[1]Discounts page'!D$30)</f>
        <v>115.68</v>
      </c>
      <c r="J1704" s="55">
        <f t="shared" si="45"/>
        <v>174</v>
      </c>
    </row>
    <row r="1705" spans="1:10" ht="18.75" x14ac:dyDescent="0.3">
      <c r="A1705" s="30">
        <v>3211200120</v>
      </c>
      <c r="B1705" s="30" t="s">
        <v>2150</v>
      </c>
      <c r="C1705" s="9" t="s">
        <v>2142</v>
      </c>
      <c r="F1705" s="10"/>
      <c r="G1705" s="9"/>
      <c r="H1705" s="10">
        <v>215.3</v>
      </c>
      <c r="I1705" s="12">
        <f>H1705*(1-'[1]Discounts page'!D$30)</f>
        <v>129.18</v>
      </c>
      <c r="J1705" s="55">
        <f t="shared" si="45"/>
        <v>194</v>
      </c>
    </row>
    <row r="1706" spans="1:10" ht="18.75" x14ac:dyDescent="0.3">
      <c r="A1706" s="30">
        <v>321400140</v>
      </c>
      <c r="B1706" s="30" t="s">
        <v>2151</v>
      </c>
      <c r="C1706" s="9" t="s">
        <v>2142</v>
      </c>
      <c r="F1706" s="10"/>
      <c r="G1706" s="9"/>
      <c r="H1706" s="10">
        <v>220</v>
      </c>
      <c r="I1706" s="12">
        <f>H1706*(1-'[1]Discounts page'!D$30)</f>
        <v>132</v>
      </c>
      <c r="J1706" s="55">
        <f t="shared" si="45"/>
        <v>198</v>
      </c>
    </row>
    <row r="1707" spans="1:10" ht="18.75" x14ac:dyDescent="0.3">
      <c r="A1707" s="30">
        <v>321600140</v>
      </c>
      <c r="B1707" s="30" t="s">
        <v>2152</v>
      </c>
      <c r="C1707" s="9" t="s">
        <v>2142</v>
      </c>
      <c r="F1707" s="10"/>
      <c r="G1707" s="9"/>
      <c r="H1707" s="10">
        <v>243.8</v>
      </c>
      <c r="I1707" s="12">
        <f>H1707*(1-'[1]Discounts page'!D$30)</f>
        <v>146.28</v>
      </c>
      <c r="J1707" s="55">
        <f t="shared" si="45"/>
        <v>220</v>
      </c>
    </row>
    <row r="1708" spans="1:10" ht="18.75" x14ac:dyDescent="0.3">
      <c r="A1708" s="30">
        <v>321001</v>
      </c>
      <c r="B1708" s="30" t="s">
        <v>2153</v>
      </c>
      <c r="C1708" s="9" t="s">
        <v>2142</v>
      </c>
      <c r="F1708" s="10"/>
      <c r="G1708" s="9"/>
      <c r="H1708" s="10">
        <v>146.80000000000001</v>
      </c>
      <c r="I1708" s="12">
        <f>H1708*(1-'[1]Discounts page'!D$30)</f>
        <v>88.08</v>
      </c>
      <c r="J1708" s="55">
        <f t="shared" si="45"/>
        <v>133</v>
      </c>
    </row>
    <row r="1709" spans="1:10" ht="18.75" x14ac:dyDescent="0.3">
      <c r="A1709" s="24">
        <v>326200095</v>
      </c>
      <c r="B1709" s="9" t="s">
        <v>2154</v>
      </c>
      <c r="C1709" s="9" t="s">
        <v>2142</v>
      </c>
      <c r="F1709" s="10"/>
      <c r="G1709" s="9"/>
      <c r="H1709" s="10">
        <v>129.30000000000001</v>
      </c>
      <c r="I1709" s="12">
        <f>H1709*(1-'[1]Discounts page'!D$30)</f>
        <v>77.58</v>
      </c>
      <c r="J1709" s="55">
        <f t="shared" si="45"/>
        <v>117</v>
      </c>
    </row>
    <row r="1710" spans="1:10" ht="18.75" x14ac:dyDescent="0.3">
      <c r="A1710" s="24">
        <v>326300120</v>
      </c>
      <c r="B1710" s="9" t="s">
        <v>2155</v>
      </c>
      <c r="C1710" s="9" t="s">
        <v>2142</v>
      </c>
      <c r="F1710" s="10"/>
      <c r="G1710" s="9"/>
      <c r="H1710" s="10">
        <v>155.6</v>
      </c>
      <c r="I1710" s="12">
        <f>H1710*(1-'[1]Discounts page'!D$30)</f>
        <v>93.36</v>
      </c>
      <c r="J1710" s="55">
        <f t="shared" si="45"/>
        <v>141</v>
      </c>
    </row>
    <row r="1711" spans="1:10" ht="18.75" x14ac:dyDescent="0.3">
      <c r="A1711" s="24">
        <v>320300120</v>
      </c>
      <c r="B1711" s="9" t="s">
        <v>2156</v>
      </c>
      <c r="C1711" s="9" t="s">
        <v>2142</v>
      </c>
      <c r="F1711" s="10"/>
      <c r="G1711" s="9"/>
      <c r="H1711" s="10">
        <v>162.69999999999999</v>
      </c>
      <c r="I1711" s="12">
        <f>H1711*(1-'[1]Discounts page'!D$30)</f>
        <v>97.61999999999999</v>
      </c>
      <c r="J1711" s="55">
        <f t="shared" si="45"/>
        <v>147</v>
      </c>
    </row>
    <row r="1712" spans="1:10" ht="18.75" x14ac:dyDescent="0.3">
      <c r="A1712" s="24">
        <v>320400140</v>
      </c>
      <c r="B1712" s="9" t="s">
        <v>2157</v>
      </c>
      <c r="C1712" s="9" t="s">
        <v>2142</v>
      </c>
      <c r="F1712" s="10"/>
      <c r="G1712" s="9"/>
      <c r="H1712" s="10">
        <v>250.2</v>
      </c>
      <c r="I1712" s="12">
        <f>H1712*(1-'[1]Discounts page'!D$30)</f>
        <v>150.11999999999998</v>
      </c>
      <c r="J1712" s="55">
        <f t="shared" si="45"/>
        <v>226</v>
      </c>
    </row>
    <row r="1713" spans="1:10" ht="18.75" x14ac:dyDescent="0.3">
      <c r="A1713" s="24">
        <v>320600120</v>
      </c>
      <c r="B1713" s="9" t="s">
        <v>2158</v>
      </c>
      <c r="C1713" s="9" t="s">
        <v>2142</v>
      </c>
      <c r="F1713" s="10"/>
      <c r="G1713" s="9"/>
      <c r="H1713" s="10">
        <v>194.2</v>
      </c>
      <c r="I1713" s="12">
        <f>H1713*(1-'[1]Discounts page'!D$30)</f>
        <v>116.51999999999998</v>
      </c>
      <c r="J1713" s="55">
        <f t="shared" si="45"/>
        <v>175</v>
      </c>
    </row>
    <row r="1714" spans="1:10" ht="18.75" x14ac:dyDescent="0.3">
      <c r="A1714" s="24">
        <v>320600140</v>
      </c>
      <c r="B1714" s="9" t="s">
        <v>2159</v>
      </c>
      <c r="C1714" s="9" t="s">
        <v>2142</v>
      </c>
      <c r="F1714" s="10"/>
      <c r="G1714" s="9"/>
      <c r="H1714" s="10">
        <v>271.10000000000002</v>
      </c>
      <c r="I1714" s="12">
        <f>H1714*(1-'[1]Discounts page'!D$30)</f>
        <v>162.66</v>
      </c>
      <c r="J1714" s="55">
        <f t="shared" si="45"/>
        <v>244</v>
      </c>
    </row>
    <row r="1715" spans="1:10" ht="18.75" x14ac:dyDescent="0.3">
      <c r="A1715" s="24">
        <v>320800140</v>
      </c>
      <c r="B1715" s="9" t="s">
        <v>2160</v>
      </c>
      <c r="C1715" s="9" t="s">
        <v>2142</v>
      </c>
      <c r="F1715" s="10"/>
      <c r="G1715" s="9"/>
      <c r="H1715" s="10">
        <v>292.60000000000002</v>
      </c>
      <c r="I1715" s="12">
        <f>H1715*(1-'[1]Discounts page'!D$30)</f>
        <v>175.56</v>
      </c>
      <c r="J1715" s="55">
        <f t="shared" si="45"/>
        <v>264</v>
      </c>
    </row>
    <row r="1716" spans="1:10" ht="18.75" x14ac:dyDescent="0.3">
      <c r="A1716" s="24">
        <v>331250</v>
      </c>
      <c r="B1716" s="9" t="s">
        <v>2161</v>
      </c>
      <c r="C1716" s="9" t="s">
        <v>2142</v>
      </c>
      <c r="F1716" s="10"/>
      <c r="G1716" s="9"/>
      <c r="H1716" s="10">
        <v>67.7</v>
      </c>
      <c r="I1716" s="12">
        <f>H1716*(1-'[1]Discounts page'!D$30)</f>
        <v>40.619999999999997</v>
      </c>
      <c r="J1716" s="55">
        <f t="shared" si="45"/>
        <v>61</v>
      </c>
    </row>
    <row r="1717" spans="1:10" ht="18.75" x14ac:dyDescent="0.3">
      <c r="A1717" s="24">
        <v>331300</v>
      </c>
      <c r="B1717" s="9" t="s">
        <v>2162</v>
      </c>
      <c r="C1717" s="9" t="s">
        <v>2142</v>
      </c>
      <c r="F1717" s="10"/>
      <c r="G1717" s="9"/>
      <c r="H1717" s="10">
        <v>82.5</v>
      </c>
      <c r="I1717" s="12">
        <f>H1717*(1-'[1]Discounts page'!D$30)</f>
        <v>49.5</v>
      </c>
      <c r="J1717" s="55">
        <f t="shared" si="45"/>
        <v>75</v>
      </c>
    </row>
    <row r="1718" spans="1:10" ht="18.75" x14ac:dyDescent="0.3">
      <c r="A1718" s="24">
        <v>332250</v>
      </c>
      <c r="B1718" s="9" t="s">
        <v>2163</v>
      </c>
      <c r="C1718" s="9" t="s">
        <v>2142</v>
      </c>
      <c r="F1718" s="10"/>
      <c r="G1718" s="9"/>
      <c r="H1718" s="10">
        <v>104.5</v>
      </c>
      <c r="I1718" s="12">
        <f>H1718*(1-'[1]Discounts page'!D$30)</f>
        <v>62.699999999999996</v>
      </c>
      <c r="J1718" s="55">
        <f t="shared" si="45"/>
        <v>95</v>
      </c>
    </row>
    <row r="1719" spans="1:10" ht="18.75" x14ac:dyDescent="0.3">
      <c r="A1719" s="24">
        <v>334250</v>
      </c>
      <c r="B1719" s="9" t="s">
        <v>2164</v>
      </c>
      <c r="C1719" s="9" t="s">
        <v>2142</v>
      </c>
      <c r="F1719" s="10"/>
      <c r="G1719" s="9"/>
      <c r="H1719" s="10">
        <v>66.5</v>
      </c>
      <c r="I1719" s="12">
        <f>H1719*(1-'[1]Discounts page'!D$30)</f>
        <v>39.9</v>
      </c>
      <c r="J1719" s="55">
        <f t="shared" si="45"/>
        <v>60</v>
      </c>
    </row>
    <row r="1720" spans="1:10" ht="18.75" x14ac:dyDescent="0.3">
      <c r="A1720" s="24">
        <v>335300</v>
      </c>
      <c r="B1720" s="9" t="s">
        <v>2165</v>
      </c>
      <c r="C1720" s="9" t="s">
        <v>2142</v>
      </c>
      <c r="F1720" s="10"/>
      <c r="G1720" s="9"/>
      <c r="H1720" s="10">
        <v>94.9</v>
      </c>
      <c r="I1720" s="12">
        <f>H1720*(1-'[1]Discounts page'!D$30)</f>
        <v>56.940000000000005</v>
      </c>
      <c r="J1720" s="55">
        <f t="shared" si="45"/>
        <v>86</v>
      </c>
    </row>
    <row r="1721" spans="1:10" ht="18.75" x14ac:dyDescent="0.3">
      <c r="A1721" s="24">
        <v>333280</v>
      </c>
      <c r="B1721" s="9" t="s">
        <v>2166</v>
      </c>
      <c r="C1721" s="9" t="s">
        <v>2142</v>
      </c>
      <c r="F1721" s="10"/>
      <c r="G1721" s="9"/>
      <c r="H1721" s="10">
        <v>89.7</v>
      </c>
      <c r="I1721" s="12">
        <f>H1721*(1-'[1]Discounts page'!D$30)</f>
        <v>53.82</v>
      </c>
      <c r="J1721" s="55">
        <f t="shared" ref="J1721:J1761" si="46">ROUNDUP(I1721*1.5,0)</f>
        <v>81</v>
      </c>
    </row>
    <row r="1722" spans="1:10" ht="18.75" x14ac:dyDescent="0.3">
      <c r="A1722" s="24">
        <v>331175</v>
      </c>
      <c r="B1722" s="9" t="s">
        <v>2167</v>
      </c>
      <c r="C1722" s="9" t="s">
        <v>2142</v>
      </c>
      <c r="F1722" s="10"/>
      <c r="G1722" s="9"/>
      <c r="H1722" s="10">
        <v>49.15</v>
      </c>
      <c r="I1722" s="12">
        <f>H1722*(1-'[2]Discounts page'!D$30)</f>
        <v>29.49</v>
      </c>
      <c r="J1722" s="55">
        <f t="shared" si="46"/>
        <v>45</v>
      </c>
    </row>
    <row r="1723" spans="1:10" ht="18.75" x14ac:dyDescent="0.3">
      <c r="A1723" s="24">
        <v>331250</v>
      </c>
      <c r="B1723" s="9" t="s">
        <v>2161</v>
      </c>
      <c r="C1723" s="9" t="s">
        <v>2142</v>
      </c>
      <c r="F1723" s="10"/>
      <c r="G1723" s="9"/>
      <c r="H1723" s="10">
        <v>67.7</v>
      </c>
      <c r="I1723" s="12">
        <f>H1723*(1-'[2]Discounts page'!D$30)</f>
        <v>40.619999999999997</v>
      </c>
      <c r="J1723" s="55">
        <f t="shared" si="46"/>
        <v>61</v>
      </c>
    </row>
    <row r="1724" spans="1:10" ht="18.75" x14ac:dyDescent="0.3">
      <c r="A1724" s="24">
        <v>331300</v>
      </c>
      <c r="B1724" s="9" t="s">
        <v>2162</v>
      </c>
      <c r="C1724" s="9" t="s">
        <v>2142</v>
      </c>
      <c r="F1724" s="10"/>
      <c r="G1724" s="9"/>
      <c r="H1724" s="10">
        <v>82.5</v>
      </c>
      <c r="I1724" s="12">
        <f>H1724*(1-'[2]Discounts page'!D$30)</f>
        <v>49.5</v>
      </c>
      <c r="J1724" s="55">
        <f t="shared" si="46"/>
        <v>75</v>
      </c>
    </row>
    <row r="1725" spans="1:10" ht="18.75" x14ac:dyDescent="0.3">
      <c r="A1725" s="24">
        <v>332250</v>
      </c>
      <c r="B1725" s="9" t="s">
        <v>2163</v>
      </c>
      <c r="C1725" s="9" t="s">
        <v>2142</v>
      </c>
      <c r="F1725" s="10"/>
      <c r="G1725" s="9"/>
      <c r="H1725" s="10">
        <v>104.5</v>
      </c>
      <c r="I1725" s="12">
        <f>H1725*(1-'[2]Discounts page'!D$30)</f>
        <v>62.699999999999996</v>
      </c>
      <c r="J1725" s="55">
        <f t="shared" si="46"/>
        <v>95</v>
      </c>
    </row>
    <row r="1726" spans="1:10" ht="18.75" x14ac:dyDescent="0.3">
      <c r="A1726" s="24">
        <v>334250</v>
      </c>
      <c r="B1726" s="9" t="s">
        <v>2164</v>
      </c>
      <c r="C1726" s="9" t="s">
        <v>2142</v>
      </c>
      <c r="F1726" s="10"/>
      <c r="G1726" s="9"/>
      <c r="H1726" s="10">
        <v>66.5</v>
      </c>
      <c r="I1726" s="12">
        <f>H1726*(1-'[2]Discounts page'!D$30)</f>
        <v>39.9</v>
      </c>
      <c r="J1726" s="55">
        <f t="shared" si="46"/>
        <v>60</v>
      </c>
    </row>
    <row r="1727" spans="1:10" ht="18.75" x14ac:dyDescent="0.3">
      <c r="A1727" s="24">
        <v>335300</v>
      </c>
      <c r="B1727" s="9" t="s">
        <v>2165</v>
      </c>
      <c r="C1727" s="9" t="s">
        <v>2142</v>
      </c>
      <c r="F1727" s="10"/>
      <c r="G1727" s="9"/>
      <c r="H1727" s="10">
        <v>94.9</v>
      </c>
      <c r="I1727" s="12">
        <f>H1727*(1-'[2]Discounts page'!D$30)</f>
        <v>56.940000000000005</v>
      </c>
      <c r="J1727" s="55">
        <f t="shared" si="46"/>
        <v>86</v>
      </c>
    </row>
    <row r="1728" spans="1:10" ht="18.75" x14ac:dyDescent="0.3">
      <c r="A1728" s="24">
        <v>333280</v>
      </c>
      <c r="B1728" s="9" t="s">
        <v>2166</v>
      </c>
      <c r="C1728" s="9" t="s">
        <v>2142</v>
      </c>
      <c r="F1728" s="10"/>
      <c r="G1728" s="9"/>
      <c r="H1728" s="10">
        <v>89.7</v>
      </c>
      <c r="I1728" s="12">
        <f>H1728*(1-'[2]Discounts page'!D$30)</f>
        <v>53.82</v>
      </c>
      <c r="J1728" s="55">
        <f t="shared" si="46"/>
        <v>81</v>
      </c>
    </row>
    <row r="1729" spans="1:10" ht="18.75" x14ac:dyDescent="0.3">
      <c r="A1729" s="24">
        <v>335350</v>
      </c>
      <c r="B1729" s="9" t="s">
        <v>2168</v>
      </c>
      <c r="C1729" s="9" t="s">
        <v>2142</v>
      </c>
      <c r="F1729" s="10"/>
      <c r="G1729" s="9"/>
      <c r="H1729" s="10">
        <v>89.9</v>
      </c>
      <c r="I1729" s="12">
        <f>H1729*(1-'[2]Discounts page'!D$30)</f>
        <v>53.940000000000005</v>
      </c>
      <c r="J1729" s="55">
        <f t="shared" si="46"/>
        <v>81</v>
      </c>
    </row>
    <row r="1730" spans="1:10" ht="18.75" x14ac:dyDescent="0.3">
      <c r="A1730" s="24">
        <v>336230</v>
      </c>
      <c r="B1730" s="9" t="s">
        <v>2169</v>
      </c>
      <c r="C1730" s="9" t="s">
        <v>2142</v>
      </c>
      <c r="F1730" s="10"/>
      <c r="G1730" s="9"/>
      <c r="H1730" s="10">
        <v>59.1</v>
      </c>
      <c r="I1730" s="12">
        <f>H1730*(1-'[2]Discounts page'!D$30)</f>
        <v>35.46</v>
      </c>
      <c r="J1730" s="55">
        <f t="shared" si="46"/>
        <v>54</v>
      </c>
    </row>
    <row r="1731" spans="1:10" ht="18.75" x14ac:dyDescent="0.3">
      <c r="A1731" s="9"/>
      <c r="B1731" s="9"/>
      <c r="C1731" s="9"/>
      <c r="F1731" s="10"/>
      <c r="G1731" s="5"/>
      <c r="H1731" s="10"/>
      <c r="I1731" s="12"/>
      <c r="J1731" s="55">
        <f t="shared" si="46"/>
        <v>0</v>
      </c>
    </row>
    <row r="1732" spans="1:10" ht="18.75" x14ac:dyDescent="0.3">
      <c r="A1732" s="3" t="s">
        <v>2170</v>
      </c>
      <c r="B1732" s="4"/>
      <c r="C1732" s="5"/>
      <c r="F1732" s="14"/>
      <c r="G1732" s="9"/>
      <c r="H1732" s="14"/>
      <c r="I1732" s="15"/>
      <c r="J1732" s="55">
        <f t="shared" si="46"/>
        <v>0</v>
      </c>
    </row>
    <row r="1733" spans="1:10" ht="18.75" x14ac:dyDescent="0.3">
      <c r="A1733" s="24" t="s">
        <v>2171</v>
      </c>
      <c r="B1733" s="9" t="s">
        <v>2172</v>
      </c>
      <c r="C1733" s="9" t="s">
        <v>2173</v>
      </c>
      <c r="F1733" s="10"/>
      <c r="G1733" s="9"/>
      <c r="H1733" s="10">
        <v>71.8</v>
      </c>
      <c r="I1733" s="12">
        <f>H1733*(1-'[1]Discounts page'!D$31)</f>
        <v>50.26</v>
      </c>
      <c r="J1733" s="55">
        <f t="shared" si="46"/>
        <v>76</v>
      </c>
    </row>
    <row r="1734" spans="1:10" ht="18.75" x14ac:dyDescent="0.3">
      <c r="A1734" s="24">
        <v>5111002020</v>
      </c>
      <c r="B1734" s="9" t="s">
        <v>2174</v>
      </c>
      <c r="C1734" s="9" t="s">
        <v>2173</v>
      </c>
      <c r="F1734" s="10"/>
      <c r="G1734" s="9"/>
      <c r="H1734" s="10">
        <v>67.8</v>
      </c>
      <c r="I1734" s="12">
        <f>H1734*(1-'[1]Discounts page'!D$31)</f>
        <v>47.459999999999994</v>
      </c>
      <c r="J1734" s="55">
        <f t="shared" si="46"/>
        <v>72</v>
      </c>
    </row>
    <row r="1735" spans="1:10" ht="18.75" x14ac:dyDescent="0.3">
      <c r="A1735" s="24">
        <v>5111406246</v>
      </c>
      <c r="B1735" s="9" t="s">
        <v>2175</v>
      </c>
      <c r="C1735" s="9" t="s">
        <v>2173</v>
      </c>
      <c r="F1735" s="10"/>
      <c r="G1735" s="9"/>
      <c r="H1735" s="10">
        <v>299.3</v>
      </c>
      <c r="I1735" s="12">
        <f>H1735*(1-'[1]Discounts page'!D$31)</f>
        <v>209.51</v>
      </c>
      <c r="J1735" s="55">
        <f t="shared" si="46"/>
        <v>315</v>
      </c>
    </row>
    <row r="1736" spans="1:10" ht="18.75" x14ac:dyDescent="0.3">
      <c r="A1736" s="31" t="s">
        <v>2176</v>
      </c>
      <c r="B1736" s="8" t="s">
        <v>2177</v>
      </c>
      <c r="C1736" s="9" t="s">
        <v>2173</v>
      </c>
      <c r="F1736" s="10"/>
      <c r="G1736" s="9"/>
      <c r="H1736" s="10">
        <v>108.5</v>
      </c>
      <c r="I1736" s="12">
        <f>H1736*(1-'[1]Discounts page'!D$31)</f>
        <v>75.949999999999989</v>
      </c>
      <c r="J1736" s="55">
        <f t="shared" si="46"/>
        <v>114</v>
      </c>
    </row>
    <row r="1737" spans="1:10" ht="18.75" x14ac:dyDescent="0.3">
      <c r="A1737" s="31" t="s">
        <v>2178</v>
      </c>
      <c r="B1737" s="8" t="s">
        <v>2179</v>
      </c>
      <c r="C1737" s="9" t="s">
        <v>2173</v>
      </c>
      <c r="F1737" s="10"/>
      <c r="G1737" s="9"/>
      <c r="H1737" s="10">
        <v>140.4</v>
      </c>
      <c r="I1737" s="12">
        <f>H1737*(1-'[1]Discounts page'!D$31)</f>
        <v>98.28</v>
      </c>
      <c r="J1737" s="55">
        <f t="shared" si="46"/>
        <v>148</v>
      </c>
    </row>
    <row r="1738" spans="1:10" ht="18.75" x14ac:dyDescent="0.3">
      <c r="A1738" s="31" t="s">
        <v>2180</v>
      </c>
      <c r="B1738" s="8" t="s">
        <v>2181</v>
      </c>
      <c r="C1738" s="9" t="s">
        <v>2173</v>
      </c>
      <c r="F1738" s="10"/>
      <c r="G1738" s="9"/>
      <c r="H1738" s="10">
        <v>145.5</v>
      </c>
      <c r="I1738" s="12">
        <f>H1738*(1-'[1]Discounts page'!D$31)</f>
        <v>101.85</v>
      </c>
      <c r="J1738" s="55">
        <f t="shared" si="46"/>
        <v>153</v>
      </c>
    </row>
    <row r="1739" spans="1:10" ht="18.75" x14ac:dyDescent="0.3">
      <c r="A1739" s="31" t="s">
        <v>2182</v>
      </c>
      <c r="B1739" s="8" t="s">
        <v>2183</v>
      </c>
      <c r="C1739" s="9" t="s">
        <v>2173</v>
      </c>
      <c r="F1739" s="10"/>
      <c r="G1739" s="9"/>
      <c r="H1739" s="10">
        <v>227.5</v>
      </c>
      <c r="I1739" s="12">
        <f>H1739*(1-'[1]Discounts page'!D$31)</f>
        <v>159.25</v>
      </c>
      <c r="J1739" s="55">
        <f t="shared" si="46"/>
        <v>239</v>
      </c>
    </row>
    <row r="1740" spans="1:10" ht="18.75" x14ac:dyDescent="0.3">
      <c r="A1740" s="31" t="s">
        <v>2184</v>
      </c>
      <c r="B1740" s="8" t="s">
        <v>2185</v>
      </c>
      <c r="C1740" s="9" t="s">
        <v>2173</v>
      </c>
      <c r="F1740" s="10"/>
      <c r="G1740" s="9"/>
      <c r="H1740" s="10">
        <v>281.70000000000005</v>
      </c>
      <c r="I1740" s="12">
        <f>H1740*(1-'[1]Discounts page'!D$31)</f>
        <v>197.19000000000003</v>
      </c>
      <c r="J1740" s="55">
        <f t="shared" si="46"/>
        <v>296</v>
      </c>
    </row>
    <row r="1741" spans="1:10" ht="18.75" x14ac:dyDescent="0.3">
      <c r="A1741" s="31" t="s">
        <v>2186</v>
      </c>
      <c r="B1741" s="8" t="s">
        <v>2187</v>
      </c>
      <c r="C1741" s="9" t="s">
        <v>2173</v>
      </c>
      <c r="F1741" s="10"/>
      <c r="G1741" s="9"/>
      <c r="H1741" s="10">
        <v>318.70000000000005</v>
      </c>
      <c r="I1741" s="12">
        <f>H1741*(1-'[1]Discounts page'!D$31)</f>
        <v>223.09000000000003</v>
      </c>
      <c r="J1741" s="55">
        <f t="shared" si="46"/>
        <v>335</v>
      </c>
    </row>
    <row r="1742" spans="1:10" ht="18.75" x14ac:dyDescent="0.3">
      <c r="A1742" s="31" t="s">
        <v>2188</v>
      </c>
      <c r="B1742" s="8" t="s">
        <v>2189</v>
      </c>
      <c r="C1742" s="9" t="s">
        <v>2173</v>
      </c>
      <c r="F1742" s="10"/>
      <c r="G1742" s="9"/>
      <c r="H1742" s="10">
        <v>330.40000000000003</v>
      </c>
      <c r="I1742" s="12">
        <f>H1742*(1-'[1]Discounts page'!D$31)</f>
        <v>231.28</v>
      </c>
      <c r="J1742" s="55">
        <f t="shared" si="46"/>
        <v>347</v>
      </c>
    </row>
    <row r="1743" spans="1:10" ht="18.75" x14ac:dyDescent="0.3">
      <c r="A1743" s="31" t="s">
        <v>2190</v>
      </c>
      <c r="B1743" s="8" t="s">
        <v>2191</v>
      </c>
      <c r="C1743" s="9" t="s">
        <v>2173</v>
      </c>
      <c r="F1743" s="10"/>
      <c r="G1743" s="9"/>
      <c r="H1743" s="10">
        <v>370.40000000000003</v>
      </c>
      <c r="I1743" s="12">
        <f>H1743*(1-'[1]Discounts page'!D$31)</f>
        <v>259.28000000000003</v>
      </c>
      <c r="J1743" s="55">
        <f t="shared" si="46"/>
        <v>389</v>
      </c>
    </row>
    <row r="1744" spans="1:10" ht="18.75" x14ac:dyDescent="0.3">
      <c r="A1744" s="31" t="s">
        <v>2192</v>
      </c>
      <c r="B1744" s="8" t="s">
        <v>2193</v>
      </c>
      <c r="C1744" s="9" t="s">
        <v>2173</v>
      </c>
      <c r="F1744" s="10"/>
      <c r="G1744" s="9"/>
      <c r="H1744" s="10">
        <v>457</v>
      </c>
      <c r="I1744" s="12">
        <f>H1744*(1-'[1]Discounts page'!D$31)</f>
        <v>319.89999999999998</v>
      </c>
      <c r="J1744" s="55">
        <f t="shared" si="46"/>
        <v>480</v>
      </c>
    </row>
    <row r="1745" spans="1:10" ht="18.75" x14ac:dyDescent="0.3">
      <c r="A1745" s="31" t="s">
        <v>2194</v>
      </c>
      <c r="B1745" s="8" t="s">
        <v>2195</v>
      </c>
      <c r="C1745" s="9" t="s">
        <v>2173</v>
      </c>
      <c r="F1745" s="10"/>
      <c r="G1745" s="9"/>
      <c r="H1745" s="10">
        <v>506.6</v>
      </c>
      <c r="I1745" s="12">
        <f>H1745*(1-'[1]Discounts page'!D$31)</f>
        <v>354.62</v>
      </c>
      <c r="J1745" s="55">
        <f t="shared" si="46"/>
        <v>532</v>
      </c>
    </row>
    <row r="1746" spans="1:10" ht="18.75" x14ac:dyDescent="0.3">
      <c r="A1746" s="24">
        <v>5242503060</v>
      </c>
      <c r="B1746" s="9" t="s">
        <v>2196</v>
      </c>
      <c r="C1746" s="9" t="s">
        <v>2173</v>
      </c>
      <c r="F1746" s="9"/>
      <c r="G1746" s="9"/>
      <c r="H1746" s="10">
        <v>211.29999999999998</v>
      </c>
      <c r="I1746" s="12">
        <f>H1746*(1-'[1]Discounts page'!D$31)</f>
        <v>147.90999999999997</v>
      </c>
      <c r="J1746" s="55">
        <f t="shared" si="46"/>
        <v>222</v>
      </c>
    </row>
    <row r="1747" spans="1:10" ht="18.75" x14ac:dyDescent="0.3">
      <c r="A1747" s="24">
        <v>5243003096</v>
      </c>
      <c r="B1747" s="9" t="s">
        <v>2197</v>
      </c>
      <c r="C1747" s="9" t="s">
        <v>2173</v>
      </c>
      <c r="F1747" s="9"/>
      <c r="G1747" s="9"/>
      <c r="H1747" s="10">
        <v>304.60000000000002</v>
      </c>
      <c r="I1747" s="12">
        <f>H1747*(1-'[1]Discounts page'!D$31)</f>
        <v>213.22</v>
      </c>
      <c r="J1747" s="55">
        <f t="shared" si="46"/>
        <v>320</v>
      </c>
    </row>
    <row r="1748" spans="1:10" ht="18.75" x14ac:dyDescent="0.3">
      <c r="A1748" s="24">
        <v>5243503284</v>
      </c>
      <c r="B1748" s="9" t="s">
        <v>2198</v>
      </c>
      <c r="C1748" s="9" t="s">
        <v>2173</v>
      </c>
      <c r="F1748" s="9"/>
      <c r="G1748" s="9"/>
      <c r="H1748" s="10">
        <v>342.90000000000003</v>
      </c>
      <c r="I1748" s="12">
        <f>H1748*(1-'[1]Discounts page'!D$31)</f>
        <v>240.03</v>
      </c>
      <c r="J1748" s="55">
        <f t="shared" si="46"/>
        <v>361</v>
      </c>
    </row>
    <row r="1749" spans="1:10" ht="18.75" x14ac:dyDescent="0.3">
      <c r="A1749" s="24">
        <v>5243503296</v>
      </c>
      <c r="B1749" s="9" t="s">
        <v>2199</v>
      </c>
      <c r="C1749" s="9" t="s">
        <v>2173</v>
      </c>
      <c r="F1749" s="9"/>
      <c r="G1749" s="9"/>
      <c r="H1749" s="10">
        <v>358.40000000000003</v>
      </c>
      <c r="I1749" s="12">
        <f>H1749*(1-'[1]Discounts page'!D$31)</f>
        <v>250.88</v>
      </c>
      <c r="J1749" s="55">
        <f t="shared" si="46"/>
        <v>377</v>
      </c>
    </row>
    <row r="1750" spans="1:10" ht="18.75" x14ac:dyDescent="0.3">
      <c r="A1750" s="24">
        <v>52435030108</v>
      </c>
      <c r="B1750" s="9" t="s">
        <v>2200</v>
      </c>
      <c r="C1750" s="9" t="s">
        <v>2173</v>
      </c>
      <c r="F1750" s="9"/>
      <c r="G1750" s="9"/>
      <c r="H1750" s="10">
        <v>378.5</v>
      </c>
      <c r="I1750" s="12">
        <f>H1750*(1-'[1]Discounts page'!D$31)</f>
        <v>264.95</v>
      </c>
      <c r="J1750" s="55">
        <f t="shared" si="46"/>
        <v>398</v>
      </c>
    </row>
    <row r="1751" spans="1:10" ht="18.75" x14ac:dyDescent="0.3">
      <c r="A1751" s="24">
        <v>52438032110</v>
      </c>
      <c r="B1751" s="9" t="s">
        <v>2201</v>
      </c>
      <c r="C1751" s="9" t="s">
        <v>2173</v>
      </c>
      <c r="F1751" s="9"/>
      <c r="G1751" s="9"/>
      <c r="H1751" s="10">
        <v>490.3</v>
      </c>
      <c r="I1751" s="12">
        <f>H1751*(1-'[1]Discounts page'!D$31)</f>
        <v>343.21</v>
      </c>
      <c r="J1751" s="55">
        <f t="shared" si="46"/>
        <v>515</v>
      </c>
    </row>
    <row r="1752" spans="1:10" ht="18.75" x14ac:dyDescent="0.3">
      <c r="A1752" s="24">
        <v>52440030120</v>
      </c>
      <c r="B1752" s="9" t="s">
        <v>2202</v>
      </c>
      <c r="C1752" s="9" t="s">
        <v>2173</v>
      </c>
      <c r="F1752" s="9"/>
      <c r="G1752" s="9"/>
      <c r="H1752" s="10">
        <v>531.80000000000007</v>
      </c>
      <c r="I1752" s="12">
        <f>H1752*(1-'[1]Discounts page'!D$31)</f>
        <v>372.26000000000005</v>
      </c>
      <c r="J1752" s="55">
        <f t="shared" si="46"/>
        <v>559</v>
      </c>
    </row>
    <row r="1753" spans="1:10" ht="18.75" x14ac:dyDescent="0.3">
      <c r="A1753" s="24">
        <v>5244203096</v>
      </c>
      <c r="B1753" s="9" t="s">
        <v>2203</v>
      </c>
      <c r="C1753" s="9" t="s">
        <v>2173</v>
      </c>
      <c r="F1753" s="9"/>
      <c r="G1753" s="9"/>
      <c r="H1753" s="10">
        <v>495.1</v>
      </c>
      <c r="I1753" s="12">
        <f>H1753*(1-'[1]Discounts page'!D$31)</f>
        <v>346.57</v>
      </c>
      <c r="J1753" s="55">
        <f t="shared" si="46"/>
        <v>520</v>
      </c>
    </row>
    <row r="1754" spans="1:10" ht="18.75" x14ac:dyDescent="0.3">
      <c r="A1754" s="24">
        <v>52545038132</v>
      </c>
      <c r="B1754" s="9" t="s">
        <v>2204</v>
      </c>
      <c r="C1754" s="9" t="s">
        <v>2173</v>
      </c>
      <c r="F1754" s="9"/>
      <c r="G1754" s="9"/>
      <c r="H1754" s="10">
        <v>809.30000000000007</v>
      </c>
      <c r="I1754" s="12">
        <f>H1754*(1-'[1]Discounts page'!D$31)</f>
        <v>566.51</v>
      </c>
      <c r="J1754" s="55">
        <f t="shared" si="46"/>
        <v>850</v>
      </c>
    </row>
    <row r="1755" spans="1:10" ht="18.75" x14ac:dyDescent="0.3">
      <c r="A1755" s="24">
        <v>52450030120</v>
      </c>
      <c r="B1755" s="9" t="s">
        <v>2205</v>
      </c>
      <c r="C1755" s="9" t="s">
        <v>2173</v>
      </c>
      <c r="F1755" s="9"/>
      <c r="G1755" s="9"/>
      <c r="H1755" s="10">
        <v>653.70000000000005</v>
      </c>
      <c r="I1755" s="12">
        <f>H1755*(1-'[1]Discounts page'!D$31)</f>
        <v>457.59</v>
      </c>
      <c r="J1755" s="55">
        <f t="shared" si="46"/>
        <v>687</v>
      </c>
    </row>
    <row r="1756" spans="1:10" ht="18.75" x14ac:dyDescent="0.3">
      <c r="A1756" s="24">
        <v>52452030060</v>
      </c>
      <c r="B1756" s="9" t="s">
        <v>2206</v>
      </c>
      <c r="C1756" s="9" t="s">
        <v>2173</v>
      </c>
      <c r="F1756" s="9"/>
      <c r="G1756" s="9"/>
      <c r="H1756" s="10">
        <v>1124.3</v>
      </c>
      <c r="I1756" s="12">
        <f>H1756*(1-'[1]Discounts page'!D$31)</f>
        <v>787.00999999999988</v>
      </c>
      <c r="J1756" s="55">
        <f t="shared" si="46"/>
        <v>1181</v>
      </c>
    </row>
    <row r="1757" spans="1:10" ht="18.75" x14ac:dyDescent="0.3">
      <c r="A1757" s="20" t="s">
        <v>2207</v>
      </c>
      <c r="B1757" s="9"/>
      <c r="C1757" s="9"/>
      <c r="F1757" s="10"/>
      <c r="G1757" s="9"/>
      <c r="H1757" s="10"/>
      <c r="I1757" s="12"/>
      <c r="J1757" s="55">
        <f t="shared" si="46"/>
        <v>0</v>
      </c>
    </row>
    <row r="1758" spans="1:10" ht="18.75" x14ac:dyDescent="0.3">
      <c r="A1758" s="8" t="s">
        <v>2208</v>
      </c>
      <c r="B1758" s="9" t="s">
        <v>2209</v>
      </c>
      <c r="C1758" s="9" t="s">
        <v>2173</v>
      </c>
      <c r="F1758" s="10"/>
      <c r="G1758" s="9"/>
      <c r="H1758" s="10">
        <v>1090.5</v>
      </c>
      <c r="I1758" s="12">
        <f>H1758*(1-'[1]Discounts page'!D$31)</f>
        <v>763.34999999999991</v>
      </c>
      <c r="J1758" s="55">
        <f t="shared" si="46"/>
        <v>1146</v>
      </c>
    </row>
    <row r="1759" spans="1:10" ht="18.75" x14ac:dyDescent="0.3">
      <c r="A1759" s="8" t="s">
        <v>2210</v>
      </c>
      <c r="B1759" s="9" t="s">
        <v>2211</v>
      </c>
      <c r="C1759" s="9" t="s">
        <v>2173</v>
      </c>
      <c r="F1759" s="10"/>
      <c r="G1759" s="9"/>
      <c r="H1759" s="10">
        <v>2276.2999999999997</v>
      </c>
      <c r="I1759" s="12">
        <f>H1759*(1-'[1]Discounts page'!D$31)</f>
        <v>1593.4099999999996</v>
      </c>
      <c r="J1759" s="55">
        <f t="shared" si="46"/>
        <v>2391</v>
      </c>
    </row>
    <row r="1760" spans="1:10" ht="18.75" x14ac:dyDescent="0.3">
      <c r="A1760" s="8" t="s">
        <v>2212</v>
      </c>
      <c r="B1760" s="9" t="s">
        <v>2213</v>
      </c>
      <c r="C1760" s="9" t="s">
        <v>2173</v>
      </c>
      <c r="F1760" s="10"/>
      <c r="G1760" s="9"/>
      <c r="H1760" s="10">
        <v>2276.2999999999997</v>
      </c>
      <c r="I1760" s="12">
        <f>H1760*(1-'[1]Discounts page'!D$31)</f>
        <v>1593.4099999999996</v>
      </c>
      <c r="J1760" s="55">
        <f t="shared" si="46"/>
        <v>2391</v>
      </c>
    </row>
    <row r="1761" spans="1:10" ht="19.5" thickBot="1" x14ac:dyDescent="0.35">
      <c r="A1761" s="8" t="s">
        <v>2214</v>
      </c>
      <c r="B1761" s="9" t="s">
        <v>2215</v>
      </c>
      <c r="C1761" s="9" t="s">
        <v>2173</v>
      </c>
      <c r="F1761" s="10"/>
      <c r="G1761" s="32"/>
      <c r="H1761" s="10">
        <v>2628</v>
      </c>
      <c r="I1761" s="12">
        <f>H1761*(1-'[1]Discounts page'!D$31)</f>
        <v>1839.6</v>
      </c>
      <c r="J1761" s="56">
        <f t="shared" si="46"/>
        <v>2760</v>
      </c>
    </row>
    <row r="1762" spans="1:10" ht="15.75" x14ac:dyDescent="0.25">
      <c r="A1762" s="32"/>
      <c r="B1762" s="32"/>
      <c r="C1762" s="32"/>
      <c r="D1762" s="32"/>
      <c r="E1762" s="32"/>
      <c r="F1762" s="32"/>
      <c r="G1762" s="2"/>
      <c r="H1762" s="2"/>
      <c r="I1762" s="2"/>
    </row>
  </sheetData>
  <mergeCells count="7">
    <mergeCell ref="J5:L7"/>
    <mergeCell ref="C3:F3"/>
    <mergeCell ref="A7:C7"/>
    <mergeCell ref="A8:C8"/>
    <mergeCell ref="D7:E8"/>
    <mergeCell ref="F7:G8"/>
    <mergeCell ref="H7:I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O'Donnell</dc:creator>
  <cp:lastModifiedBy>Luke O'Donnell</cp:lastModifiedBy>
  <dcterms:created xsi:type="dcterms:W3CDTF">2025-01-28T05:07:46Z</dcterms:created>
  <dcterms:modified xsi:type="dcterms:W3CDTF">2025-03-10T01:13:41Z</dcterms:modified>
</cp:coreProperties>
</file>